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aday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563EB"/>
      <sz val="10"/>
      <u val="single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DATA/CODE/Stocks/BackTest/Plots/intraday_trades/Intraday_Trade_0001_ADANIENT.NS_LOSS.png" TargetMode="External" Id="rId1"/><Relationship Type="http://schemas.openxmlformats.org/officeDocument/2006/relationships/hyperlink" Target="file:///C:/DATA/CODE/Stocks/BackTest/Plots/intraday_trades/Intraday_Trade_0002_ADANIENT.NS_LOSS.png" TargetMode="External" Id="rId2"/><Relationship Type="http://schemas.openxmlformats.org/officeDocument/2006/relationships/hyperlink" Target="file:///C:/DATA/CODE/Stocks/BackTest/Plots/intraday_trades/Intraday_Trade_0003_APOLLOHOSP.NS_LOSS.png" TargetMode="External" Id="rId3"/><Relationship Type="http://schemas.openxmlformats.org/officeDocument/2006/relationships/hyperlink" Target="file:///C:/DATA/CODE/Stocks/BackTest/Plots/intraday_trades/Intraday_Trade_0004_AUROPHARMA.NS_PROFIT.png" TargetMode="External" Id="rId4"/><Relationship Type="http://schemas.openxmlformats.org/officeDocument/2006/relationships/hyperlink" Target="file:///C:/DATA/CODE/Stocks/BackTest/Plots/intraday_trades/Intraday_Trade_0005_BAJFINANCE.NS_LOSS.png" TargetMode="External" Id="rId5"/><Relationship Type="http://schemas.openxmlformats.org/officeDocument/2006/relationships/hyperlink" Target="file:///C:/DATA/CODE/Stocks/BackTest/Plots/intraday_trades/Intraday_Trade_0006_BAJFINANCE.NS_PROFIT.png" TargetMode="External" Id="rId6"/><Relationship Type="http://schemas.openxmlformats.org/officeDocument/2006/relationships/hyperlink" Target="file:///C:/DATA/CODE/Stocks/BackTest/Plots/intraday_trades/Intraday_Trade_0007_BALKRISIND.NS_PROFIT.png" TargetMode="External" Id="rId7"/><Relationship Type="http://schemas.openxmlformats.org/officeDocument/2006/relationships/hyperlink" Target="file:///C:/DATA/CODE/Stocks/BackTest/Plots/intraday_trades/Intraday_Trade_0008_BANDHANBNK.NS_LOSS.png" TargetMode="External" Id="rId8"/><Relationship Type="http://schemas.openxmlformats.org/officeDocument/2006/relationships/hyperlink" Target="file:///C:/DATA/CODE/Stocks/BackTest/Plots/intraday_trades/Intraday_Trade_0009_BEL.NS_PROFIT.png" TargetMode="External" Id="rId9"/><Relationship Type="http://schemas.openxmlformats.org/officeDocument/2006/relationships/hyperlink" Target="file:///C:/DATA/CODE/Stocks/BackTest/Plots/intraday_trades/Intraday_Trade_0010_BEL.NS_LOSS.png" TargetMode="External" Id="rId10"/><Relationship Type="http://schemas.openxmlformats.org/officeDocument/2006/relationships/hyperlink" Target="file:///C:/DATA/CODE/Stocks/BackTest/Plots/intraday_trades/Intraday_Trade_0011_BEL.NS_PROFIT.png" TargetMode="External" Id="rId11"/><Relationship Type="http://schemas.openxmlformats.org/officeDocument/2006/relationships/hyperlink" Target="file:///C:/DATA/CODE/Stocks/BackTest/Plots/intraday_trades/Intraday_Trade_0012_BEL.NS_LOSS.png" TargetMode="External" Id="rId12"/><Relationship Type="http://schemas.openxmlformats.org/officeDocument/2006/relationships/hyperlink" Target="file:///C:/DATA/CODE/Stocks/BackTest/Plots/intraday_trades/Intraday_Trade_0013_BEL.NS_PROFIT.png" TargetMode="External" Id="rId13"/><Relationship Type="http://schemas.openxmlformats.org/officeDocument/2006/relationships/hyperlink" Target="file:///C:/DATA/CODE/Stocks/BackTest/Plots/intraday_trades/Intraday_Trade_0014_BEL.NS_PROFIT.png" TargetMode="External" Id="rId14"/><Relationship Type="http://schemas.openxmlformats.org/officeDocument/2006/relationships/hyperlink" Target="file:///C:/DATA/CODE/Stocks/BackTest/Plots/intraday_trades/Intraday_Trade_0015_BEML.NS_PROFIT.png" TargetMode="External" Id="rId15"/><Relationship Type="http://schemas.openxmlformats.org/officeDocument/2006/relationships/hyperlink" Target="file:///C:/DATA/CODE/Stocks/BackTest/Plots/intraday_trades/Intraday_Trade_0016_BHARATFORG.NS_PROFIT.png" TargetMode="External" Id="rId16"/><Relationship Type="http://schemas.openxmlformats.org/officeDocument/2006/relationships/hyperlink" Target="file:///C:/DATA/CODE/Stocks/BackTest/Plots/intraday_trades/Intraday_Trade_0017_BHARATFORG.NS_PROFIT.png" TargetMode="External" Id="rId17"/><Relationship Type="http://schemas.openxmlformats.org/officeDocument/2006/relationships/hyperlink" Target="file:///C:/DATA/CODE/Stocks/BackTest/Plots/intraday_trades/Intraday_Trade_0018_BHARATFORG.NS_PROFIT.png" TargetMode="External" Id="rId18"/><Relationship Type="http://schemas.openxmlformats.org/officeDocument/2006/relationships/hyperlink" Target="file:///C:/DATA/CODE/Stocks/BackTest/Plots/intraday_trades/Intraday_Trade_0019_BHARTIARTL.NS_PROFIT.png" TargetMode="External" Id="rId19"/><Relationship Type="http://schemas.openxmlformats.org/officeDocument/2006/relationships/hyperlink" Target="file:///C:/DATA/CODE/Stocks/BackTest/Plots/intraday_trades/Intraday_Trade_0020_BHARTIARTL.NS_LOSS.png" TargetMode="External" Id="rId20"/><Relationship Type="http://schemas.openxmlformats.org/officeDocument/2006/relationships/hyperlink" Target="file:///C:/DATA/CODE/Stocks/BackTest/Plots/intraday_trades/Intraday_Trade_0021_BHEL.NS_LOSS.png" TargetMode="External" Id="rId21"/><Relationship Type="http://schemas.openxmlformats.org/officeDocument/2006/relationships/hyperlink" Target="file:///C:/DATA/CODE/Stocks/BackTest/Plots/intraday_trades/Intraday_Trade_0022_BPCL.NS_LOSS.png" TargetMode="External" Id="rId22"/><Relationship Type="http://schemas.openxmlformats.org/officeDocument/2006/relationships/hyperlink" Target="file:///C:/DATA/CODE/Stocks/BackTest/Plots/intraday_trades/Intraday_Trade_0023_BPCL.NS_PROFIT.png" TargetMode="External" Id="rId23"/><Relationship Type="http://schemas.openxmlformats.org/officeDocument/2006/relationships/hyperlink" Target="file:///C:/DATA/CODE/Stocks/BackTest/Plots/intraday_trades/Intraday_Trade_0024_COALINDIA.NS_PROFIT.png" TargetMode="External" Id="rId24"/><Relationship Type="http://schemas.openxmlformats.org/officeDocument/2006/relationships/hyperlink" Target="file:///C:/DATA/CODE/Stocks/BackTest/Plots/intraday_trades/Intraday_Trade_0025_DIVISLAB.NS_LOSS.png" TargetMode="External" Id="rId25"/><Relationship Type="http://schemas.openxmlformats.org/officeDocument/2006/relationships/hyperlink" Target="file:///C:/DATA/CODE/Stocks/BackTest/Plots/intraday_trades/Intraday_Trade_0026_DIXON.NS_PROFIT.png" TargetMode="External" Id="rId26"/><Relationship Type="http://schemas.openxmlformats.org/officeDocument/2006/relationships/hyperlink" Target="file:///C:/DATA/CODE/Stocks/BackTest/Plots/intraday_trades/Intraday_Trade_0027_DRREDDY.NS_PROFIT.png" TargetMode="External" Id="rId27"/><Relationship Type="http://schemas.openxmlformats.org/officeDocument/2006/relationships/hyperlink" Target="file:///C:/DATA/CODE/Stocks/BackTest/Plots/intraday_trades/Intraday_Trade_0028_DRREDDY.NS_PROFIT.png" TargetMode="External" Id="rId28"/><Relationship Type="http://schemas.openxmlformats.org/officeDocument/2006/relationships/hyperlink" Target="file:///C:/DATA/CODE/Stocks/BackTest/Plots/intraday_trades/Intraday_Trade_0029_EICHERMOT.NS_LOSS.png" TargetMode="External" Id="rId29"/><Relationship Type="http://schemas.openxmlformats.org/officeDocument/2006/relationships/hyperlink" Target="file:///C:/DATA/CODE/Stocks/BackTest/Plots/intraday_trades/Intraday_Trade_0030_EICHERMOT.NS_LOSS.png" TargetMode="External" Id="rId30"/><Relationship Type="http://schemas.openxmlformats.org/officeDocument/2006/relationships/hyperlink" Target="file:///C:/DATA/CODE/Stocks/BackTest/Plots/intraday_trades/Intraday_Trade_0031_EICHERMOT.NS_LOSS.png" TargetMode="External" Id="rId31"/><Relationship Type="http://schemas.openxmlformats.org/officeDocument/2006/relationships/hyperlink" Target="file:///C:/DATA/CODE/Stocks/BackTest/Plots/intraday_trades/Intraday_Trade_0032_EICHERMOT.NS_LOSS.png" TargetMode="External" Id="rId32"/><Relationship Type="http://schemas.openxmlformats.org/officeDocument/2006/relationships/hyperlink" Target="file:///C:/DATA/CODE/Stocks/BackTest/Plots/intraday_trades/Intraday_Trade_0033_GAIL.NS_LOSS.png" TargetMode="External" Id="rId33"/><Relationship Type="http://schemas.openxmlformats.org/officeDocument/2006/relationships/hyperlink" Target="file:///C:/DATA/CODE/Stocks/BackTest/Plots/intraday_trades/Intraday_Trade_0034_GAIL.NS_LOSS.png" TargetMode="External" Id="rId34"/><Relationship Type="http://schemas.openxmlformats.org/officeDocument/2006/relationships/hyperlink" Target="file:///C:/DATA/CODE/Stocks/BackTest/Plots/intraday_trades/Intraday_Trade_0035_HCLTECH.NS_LOSS.png" TargetMode="External" Id="rId35"/><Relationship Type="http://schemas.openxmlformats.org/officeDocument/2006/relationships/hyperlink" Target="file:///C:/DATA/CODE/Stocks/BackTest/Plots/intraday_trades/Intraday_Trade_0036_HCLTECH.NS_LOSS.png" TargetMode="External" Id="rId36"/><Relationship Type="http://schemas.openxmlformats.org/officeDocument/2006/relationships/hyperlink" Target="file:///C:/DATA/CODE/Stocks/BackTest/Plots/intraday_trades/Intraday_Trade_0037_HDFCBANK.NS_PROFIT.png" TargetMode="External" Id="rId37"/><Relationship Type="http://schemas.openxmlformats.org/officeDocument/2006/relationships/hyperlink" Target="file:///C:/DATA/CODE/Stocks/BackTest/Plots/intraday_trades/Intraday_Trade_0038_HDFCBANK.NS_PROFIT.png" TargetMode="External" Id="rId38"/><Relationship Type="http://schemas.openxmlformats.org/officeDocument/2006/relationships/hyperlink" Target="file:///C:/DATA/CODE/Stocks/BackTest/Plots/intraday_trades/Intraday_Trade_0039_HEXT.NS_LOSS.png" TargetMode="External" Id="rId39"/><Relationship Type="http://schemas.openxmlformats.org/officeDocument/2006/relationships/hyperlink" Target="file:///C:/DATA/CODE/Stocks/BackTest/Plots/intraday_trades/Intraday_Trade_0040_HINDUNILVR.NS_LOSS.png" TargetMode="External" Id="rId40"/><Relationship Type="http://schemas.openxmlformats.org/officeDocument/2006/relationships/hyperlink" Target="file:///C:/DATA/CODE/Stocks/BackTest/Plots/intraday_trades/Intraday_Trade_0041_HINDUNILVR.NS_LOSS.png" TargetMode="External" Id="rId41"/><Relationship Type="http://schemas.openxmlformats.org/officeDocument/2006/relationships/hyperlink" Target="file:///C:/DATA/CODE/Stocks/BackTest/Plots/intraday_trades/Intraday_Trade_0042_HONASA.NS_LOSS.png" TargetMode="External" Id="rId42"/><Relationship Type="http://schemas.openxmlformats.org/officeDocument/2006/relationships/hyperlink" Target="file:///C:/DATA/CODE/Stocks/BackTest/Plots/intraday_trades/Intraday_Trade_0043_HONASA.NS_PROFIT.png" TargetMode="External" Id="rId43"/><Relationship Type="http://schemas.openxmlformats.org/officeDocument/2006/relationships/hyperlink" Target="file:///C:/DATA/CODE/Stocks/BackTest/Plots/intraday_trades/Intraday_Trade_0044_HONASA.NS_PROFIT.png" TargetMode="External" Id="rId44"/><Relationship Type="http://schemas.openxmlformats.org/officeDocument/2006/relationships/hyperlink" Target="file:///C:/DATA/CODE/Stocks/BackTest/Plots/intraday_trades/Intraday_Trade_0045_HONASA.NS_LOSS.png" TargetMode="External" Id="rId45"/><Relationship Type="http://schemas.openxmlformats.org/officeDocument/2006/relationships/hyperlink" Target="file:///C:/DATA/CODE/Stocks/BackTest/Plots/intraday_trades/Intraday_Trade_0046_ICICIBANK.NS_PROFIT.png" TargetMode="External" Id="rId46"/><Relationship Type="http://schemas.openxmlformats.org/officeDocument/2006/relationships/hyperlink" Target="file:///C:/DATA/CODE/Stocks/BackTest/Plots/intraday_trades/Intraday_Trade_0047_ICICIBANK.NS_PROFIT.png" TargetMode="External" Id="rId47"/><Relationship Type="http://schemas.openxmlformats.org/officeDocument/2006/relationships/hyperlink" Target="file:///C:/DATA/CODE/Stocks/BackTest/Plots/intraday_trades/Intraday_Trade_0048_IDEA.NS_PROFIT.png" TargetMode="External" Id="rId48"/><Relationship Type="http://schemas.openxmlformats.org/officeDocument/2006/relationships/hyperlink" Target="file:///C:/DATA/CODE/Stocks/BackTest/Plots/intraday_trades/Intraday_Trade_0049_INFY.NS_LOSS.png" TargetMode="External" Id="rId49"/><Relationship Type="http://schemas.openxmlformats.org/officeDocument/2006/relationships/hyperlink" Target="file:///C:/DATA/CODE/Stocks/BackTest/Plots/intraday_trades/Intraday_Trade_0050_INFY.NS_PROFIT.png" TargetMode="External" Id="rId50"/><Relationship Type="http://schemas.openxmlformats.org/officeDocument/2006/relationships/hyperlink" Target="file:///C:/DATA/CODE/Stocks/BackTest/Plots/intraday_trades/Intraday_Trade_0051_ITC.NS_LOSS.png" TargetMode="External" Id="rId51"/><Relationship Type="http://schemas.openxmlformats.org/officeDocument/2006/relationships/hyperlink" Target="file:///C:/DATA/CODE/Stocks/BackTest/Plots/intraday_trades/Intraday_Trade_0052_JSWENERGY.NS_LOSS.png" TargetMode="External" Id="rId52"/><Relationship Type="http://schemas.openxmlformats.org/officeDocument/2006/relationships/hyperlink" Target="file:///C:/DATA/CODE/Stocks/BackTest/Plots/intraday_trades/Intraday_Trade_0053_JSWENERGY.NS_PROFIT.png" TargetMode="External" Id="rId53"/><Relationship Type="http://schemas.openxmlformats.org/officeDocument/2006/relationships/hyperlink" Target="file:///C:/DATA/CODE/Stocks/BackTest/Plots/intraday_trades/Intraday_Trade_0054_KOTAKBANK.NS_LOSS.png" TargetMode="External" Id="rId54"/><Relationship Type="http://schemas.openxmlformats.org/officeDocument/2006/relationships/hyperlink" Target="file:///C:/DATA/CODE/Stocks/BackTest/Plots/intraday_trades/Intraday_Trade_0055_KOTAKBANK.NS_LOSS.png" TargetMode="External" Id="rId55"/><Relationship Type="http://schemas.openxmlformats.org/officeDocument/2006/relationships/hyperlink" Target="file:///C:/DATA/CODE/Stocks/BackTest/Plots/intraday_trades/Intraday_Trade_0056_KOTAKBANK.NS_LOSS.png" TargetMode="External" Id="rId56"/><Relationship Type="http://schemas.openxmlformats.org/officeDocument/2006/relationships/hyperlink" Target="file:///C:/DATA/CODE/Stocks/BackTest/Plots/intraday_trades/Intraday_Trade_0057_KOTAKBANK.NS_LOSS.png" TargetMode="External" Id="rId57"/><Relationship Type="http://schemas.openxmlformats.org/officeDocument/2006/relationships/hyperlink" Target="file:///C:/DATA/CODE/Stocks/BackTest/Plots/intraday_trades/Intraday_Trade_0058_KOTAKBANK.NS_LOSS.png" TargetMode="External" Id="rId58"/><Relationship Type="http://schemas.openxmlformats.org/officeDocument/2006/relationships/hyperlink" Target="file:///C:/DATA/CODE/Stocks/BackTest/Plots/intraday_trades/Intraday_Trade_0059_KOTAKBANK.NS_LOSS.png" TargetMode="External" Id="rId59"/><Relationship Type="http://schemas.openxmlformats.org/officeDocument/2006/relationships/hyperlink" Target="file:///C:/DATA/CODE/Stocks/BackTest/Plots/intraday_trades/Intraday_Trade_0060_KOTAKBANK.NS_LOSS.png" TargetMode="External" Id="rId60"/><Relationship Type="http://schemas.openxmlformats.org/officeDocument/2006/relationships/hyperlink" Target="file:///C:/DATA/CODE/Stocks/BackTest/Plots/intraday_trades/Intraday_Trade_0061_KTKBANK.NS_LOSS.png" TargetMode="External" Id="rId61"/><Relationship Type="http://schemas.openxmlformats.org/officeDocument/2006/relationships/hyperlink" Target="file:///C:/DATA/CODE/Stocks/BackTest/Plots/intraday_trades/Intraday_Trade_0062_KTKBANK.NS_LOSS.png" TargetMode="External" Id="rId62"/><Relationship Type="http://schemas.openxmlformats.org/officeDocument/2006/relationships/hyperlink" Target="file:///C:/DATA/CODE/Stocks/BackTest/Plots/intraday_trades/Intraday_Trade_0063_LUPIN.NS_PROFIT.png" TargetMode="External" Id="rId63"/><Relationship Type="http://schemas.openxmlformats.org/officeDocument/2006/relationships/hyperlink" Target="file:///C:/DATA/CODE/Stocks/BackTest/Plots/intraday_trades/Intraday_Trade_0064_LUPIN.NS_LOSS.png" TargetMode="External" Id="rId64"/><Relationship Type="http://schemas.openxmlformats.org/officeDocument/2006/relationships/hyperlink" Target="file:///C:/DATA/CODE/Stocks/BackTest/Plots/intraday_trades/Intraday_Trade_0065_LUPIN.NS_LOSS.png" TargetMode="External" Id="rId65"/><Relationship Type="http://schemas.openxmlformats.org/officeDocument/2006/relationships/hyperlink" Target="file:///C:/DATA/CODE/Stocks/BackTest/Plots/intraday_trades/Intraday_Trade_0066_LUPIN.NS_LOSS.png" TargetMode="External" Id="rId66"/><Relationship Type="http://schemas.openxmlformats.org/officeDocument/2006/relationships/hyperlink" Target="file:///C:/DATA/CODE/Stocks/BackTest/Plots/intraday_trades/Intraday_Trade_0067_LUPIN.NS_LOSS.png" TargetMode="External" Id="rId67"/><Relationship Type="http://schemas.openxmlformats.org/officeDocument/2006/relationships/hyperlink" Target="file:///C:/DATA/CODE/Stocks/BackTest/Plots/intraday_trades/Intraday_Trade_0068_LUPIN.NS_LOSS.png" TargetMode="External" Id="rId68"/><Relationship Type="http://schemas.openxmlformats.org/officeDocument/2006/relationships/hyperlink" Target="file:///C:/DATA/CODE/Stocks/BackTest/Plots/intraday_trades/Intraday_Trade_0069_LUPIN.NS_LOSS.png" TargetMode="External" Id="rId69"/><Relationship Type="http://schemas.openxmlformats.org/officeDocument/2006/relationships/hyperlink" Target="file:///C:/DATA/CODE/Stocks/BackTest/Plots/intraday_trades/Intraday_Trade_0070_LUPIN.NS_LOSS.png" TargetMode="External" Id="rId70"/><Relationship Type="http://schemas.openxmlformats.org/officeDocument/2006/relationships/hyperlink" Target="file:///C:/DATA/CODE/Stocks/BackTest/Plots/intraday_trades/Intraday_Trade_0071_MAXHEALTH.NS_LOSS.png" TargetMode="External" Id="rId71"/><Relationship Type="http://schemas.openxmlformats.org/officeDocument/2006/relationships/hyperlink" Target="file:///C:/DATA/CODE/Stocks/BackTest/Plots/intraday_trades/Intraday_Trade_0072_NYKAA.NS_LOSS.png" TargetMode="External" Id="rId72"/><Relationship Type="http://schemas.openxmlformats.org/officeDocument/2006/relationships/hyperlink" Target="file:///C:/DATA/CODE/Stocks/BackTest/Plots/intraday_trades/Intraday_Trade_0073_NYKAA.NS_LOSS.png" TargetMode="External" Id="rId73"/><Relationship Type="http://schemas.openxmlformats.org/officeDocument/2006/relationships/hyperlink" Target="file:///C:/DATA/CODE/Stocks/BackTest/Plots/intraday_trades/Intraday_Trade_0074_NYKAA.NS_LOSS.png" TargetMode="External" Id="rId74"/><Relationship Type="http://schemas.openxmlformats.org/officeDocument/2006/relationships/hyperlink" Target="file:///C:/DATA/CODE/Stocks/BackTest/Plots/intraday_trades/Intraday_Trade_0075_RELIANCE.NS_LOSS.png" TargetMode="External" Id="rId75"/><Relationship Type="http://schemas.openxmlformats.org/officeDocument/2006/relationships/hyperlink" Target="file:///C:/DATA/CODE/Stocks/BackTest/Plots/intraday_trades/Intraday_Trade_0076_RELIANCE.NS_LOSS.png" TargetMode="External" Id="rId76"/><Relationship Type="http://schemas.openxmlformats.org/officeDocument/2006/relationships/hyperlink" Target="file:///C:/DATA/CODE/Stocks/BackTest/Plots/intraday_trades/Intraday_Trade_0077_RELIANCE.NS_LOSS.png" TargetMode="External" Id="rId77"/><Relationship Type="http://schemas.openxmlformats.org/officeDocument/2006/relationships/hyperlink" Target="file:///C:/DATA/CODE/Stocks/BackTest/Plots/intraday_trades/Intraday_Trade_0078_RELIANCE.NS_LOSS.png" TargetMode="External" Id="rId78"/><Relationship Type="http://schemas.openxmlformats.org/officeDocument/2006/relationships/hyperlink" Target="file:///C:/DATA/CODE/Stocks/BackTest/Plots/intraday_trades/Intraday_Trade_0079_RELIANCE.NS_LOSS.png" TargetMode="External" Id="rId79"/><Relationship Type="http://schemas.openxmlformats.org/officeDocument/2006/relationships/hyperlink" Target="file:///C:/DATA/CODE/Stocks/BackTest/Plots/intraday_trades/Intraday_Trade_0080_RELIANCE.NS_PROFIT.png" TargetMode="External" Id="rId80"/><Relationship Type="http://schemas.openxmlformats.org/officeDocument/2006/relationships/hyperlink" Target="file:///C:/DATA/CODE/Stocks/BackTest/Plots/intraday_trades/Intraday_Trade_0081_RELIANCE.NS_LOSS.png" TargetMode="External" Id="rId81"/><Relationship Type="http://schemas.openxmlformats.org/officeDocument/2006/relationships/hyperlink" Target="file:///C:/DATA/CODE/Stocks/BackTest/Plots/intraday_trades/Intraday_Trade_0082_RELIANCE.NS_PROFIT.png" TargetMode="External" Id="rId82"/><Relationship Type="http://schemas.openxmlformats.org/officeDocument/2006/relationships/hyperlink" Target="file:///C:/DATA/CODE/Stocks/BackTest/Plots/intraday_trades/Intraday_Trade_0083_RVNL.NS_LOSS.png" TargetMode="External" Id="rId83"/><Relationship Type="http://schemas.openxmlformats.org/officeDocument/2006/relationships/hyperlink" Target="file:///C:/DATA/CODE/Stocks/BackTest/Plots/intraday_trades/Intraday_Trade_0084_SIEMENS.NS_LOSS.png" TargetMode="External" Id="rId84"/><Relationship Type="http://schemas.openxmlformats.org/officeDocument/2006/relationships/hyperlink" Target="file:///C:/DATA/CODE/Stocks/BackTest/Plots/intraday_trades/Intraday_Trade_0085_SIEMENS.NS_LOSS.png" TargetMode="External" Id="rId85"/><Relationship Type="http://schemas.openxmlformats.org/officeDocument/2006/relationships/hyperlink" Target="file:///C:/DATA/CODE/Stocks/BackTest/Plots/intraday_trades/Intraday_Trade_0086_SIEMENS.NS_LOSS.png" TargetMode="External" Id="rId86"/><Relationship Type="http://schemas.openxmlformats.org/officeDocument/2006/relationships/hyperlink" Target="file:///C:/DATA/CODE/Stocks/BackTest/Plots/intraday_trades/Intraday_Trade_0087_SJVN.NS_LOSS.png" TargetMode="External" Id="rId87"/><Relationship Type="http://schemas.openxmlformats.org/officeDocument/2006/relationships/hyperlink" Target="file:///C:/DATA/CODE/Stocks/BackTest/Plots/intraday_trades/Intraday_Trade_0088_SJVN.NS_LOSS.png" TargetMode="External" Id="rId88"/><Relationship Type="http://schemas.openxmlformats.org/officeDocument/2006/relationships/hyperlink" Target="file:///C:/DATA/CODE/Stocks/BackTest/Plots/intraday_trades/Intraday_Trade_0089_SUNPHARMA.NS_LOSS.png" TargetMode="External" Id="rId89"/><Relationship Type="http://schemas.openxmlformats.org/officeDocument/2006/relationships/hyperlink" Target="file:///C:/DATA/CODE/Stocks/BackTest/Plots/intraday_trades/Intraday_Trade_0090_SUNPHARMA.NS_LOSS.png" TargetMode="External" Id="rId90"/><Relationship Type="http://schemas.openxmlformats.org/officeDocument/2006/relationships/hyperlink" Target="file:///C:/DATA/CODE/Stocks/BackTest/Plots/intraday_trades/Intraday_Trade_0091_TATACOMM.NS_LOSS.png" TargetMode="External" Id="rId91"/><Relationship Type="http://schemas.openxmlformats.org/officeDocument/2006/relationships/hyperlink" Target="file:///C:/DATA/CODE/Stocks/BackTest/Plots/intraday_trades/Intraday_Trade_0092_TATACOMM.NS_LOSS.png" TargetMode="External" Id="rId92"/><Relationship Type="http://schemas.openxmlformats.org/officeDocument/2006/relationships/hyperlink" Target="file:///C:/DATA/CODE/Stocks/BackTest/Plots/intraday_trades/Intraday_Trade_0093_TATAPOWER.NS_LOSS.png" TargetMode="External" Id="rId93"/><Relationship Type="http://schemas.openxmlformats.org/officeDocument/2006/relationships/hyperlink" Target="file:///C:/DATA/CODE/Stocks/BackTest/Plots/intraday_trades/Intraday_Trade_0094_TATAPOWER.NS_LOSS.png" TargetMode="External" Id="rId94"/><Relationship Type="http://schemas.openxmlformats.org/officeDocument/2006/relationships/hyperlink" Target="file:///C:/DATA/CODE/Stocks/BackTest/Plots/intraday_trades/Intraday_Trade_0095_TATAPOWER.NS_LOSS.png" TargetMode="External" Id="rId95"/><Relationship Type="http://schemas.openxmlformats.org/officeDocument/2006/relationships/hyperlink" Target="file:///C:/DATA/CODE/Stocks/BackTest/Plots/intraday_trades/Intraday_Trade_0096_TECHM.NS_PROFIT.png" TargetMode="External" Id="rId96"/><Relationship Type="http://schemas.openxmlformats.org/officeDocument/2006/relationships/hyperlink" Target="file:///C:/DATA/CODE/Stocks/BackTest/Plots/intraday_trades/Intraday_Trade_0097_TECHM.NS_PROFIT.png" TargetMode="External" Id="rId97"/><Relationship Type="http://schemas.openxmlformats.org/officeDocument/2006/relationships/hyperlink" Target="file:///C:/DATA/CODE/Stocks/BackTest/Plots/intraday_trades/Intraday_Trade_0098_TECHM.NS_PROFIT.png" TargetMode="External" Id="rId98"/><Relationship Type="http://schemas.openxmlformats.org/officeDocument/2006/relationships/hyperlink" Target="file:///C:/DATA/CODE/Stocks/BackTest/Plots/intraday_trades/Intraday_Trade_0099_TMCV.NS_LOSS.png" TargetMode="External" Id="rId99"/><Relationship Type="http://schemas.openxmlformats.org/officeDocument/2006/relationships/hyperlink" Target="file:///C:/DATA/CODE/Stocks/BackTest/Plots/intraday_trades/Intraday_Trade_0100_TORNTPOWER.NS_PROFIT.png" TargetMode="External" Id="rId100"/><Relationship Type="http://schemas.openxmlformats.org/officeDocument/2006/relationships/hyperlink" Target="file:///C:/DATA/CODE/Stocks/BackTest/Plots/intraday_trades/Intraday_Trade_0101_TORNTPOWER.NS_PROFIT.png" TargetMode="External" Id="rId101"/><Relationship Type="http://schemas.openxmlformats.org/officeDocument/2006/relationships/hyperlink" Target="file:///C:/DATA/CODE/Stocks/BackTest/Plots/intraday_trades/Intraday_Trade_0102_TRENT.NS_LOSS.png" TargetMode="External" Id="rId102"/><Relationship Type="http://schemas.openxmlformats.org/officeDocument/2006/relationships/hyperlink" Target="file:///C:/DATA/CODE/Stocks/BackTest/Plots/intraday_trades/Intraday_Trade_0103_TRENT.NS_LOSS.png" TargetMode="External" Id="rId103"/><Relationship Type="http://schemas.openxmlformats.org/officeDocument/2006/relationships/hyperlink" Target="file:///C:/DATA/CODE/Stocks/BackTest/Plots/intraday_trades/Intraday_Trade_0104_TRENT.NS_LOSS.png" TargetMode="External" Id="rId104"/><Relationship Type="http://schemas.openxmlformats.org/officeDocument/2006/relationships/hyperlink" Target="file:///C:/DATA/CODE/Stocks/BackTest/Plots/intraday_trades/Intraday_Trade_0105_TRENT.NS_LOSS.png" TargetMode="External" Id="rId105"/><Relationship Type="http://schemas.openxmlformats.org/officeDocument/2006/relationships/hyperlink" Target="file:///C:/DATA/CODE/Stocks/BackTest/Plots/intraday_trades/Intraday_Trade_0106_VOLTAS.NS_LOSS.png" TargetMode="External" Id="rId106"/><Relationship Type="http://schemas.openxmlformats.org/officeDocument/2006/relationships/hyperlink" Target="file:///C:/DATA/CODE/Stocks/BackTest/Plots/intraday_trades/Intraday_Trade_0107_VOLTAS.NS_LOSS.png" TargetMode="External" Id="rId107"/><Relationship Type="http://schemas.openxmlformats.org/officeDocument/2006/relationships/hyperlink" Target="file:///C:/DATA/CODE/Stocks/BackTest/Plots/intraday_trades/Intraday_Trade_0108_VOLTAS.NS_LOSS.png" TargetMode="External" Id="rId108"/><Relationship Type="http://schemas.openxmlformats.org/officeDocument/2006/relationships/hyperlink" Target="file:///C:/DATA/CODE/Stocks/BackTest/Plots/intraday_trades/Intraday_Trade_0109_VOLTAS.NS_LOSS.png" TargetMode="External" Id="rId109"/><Relationship Type="http://schemas.openxmlformats.org/officeDocument/2006/relationships/hyperlink" Target="file:///C:/DATA/CODE/Stocks/BackTest/Plots/intraday_trades/Intraday_Trade_0110_VOLTAS.NS_LOSS.png" TargetMode="External" Id="rId110"/><Relationship Type="http://schemas.openxmlformats.org/officeDocument/2006/relationships/hyperlink" Target="file:///C:/DATA/CODE/Stocks/BackTest/Plots/intraday_trades/Intraday_Trade_0111_WIPRO.NS_LOSS.png" TargetMode="External" Id="rId111"/><Relationship Type="http://schemas.openxmlformats.org/officeDocument/2006/relationships/hyperlink" Target="file:///C:/DATA/CODE/Stocks/BackTest/Plots/intraday_trades/Intraday_Trade_0112_YESBANK.NS_LOSS.png" TargetMode="External" Id="rId112"/><Relationship Type="http://schemas.openxmlformats.org/officeDocument/2006/relationships/hyperlink" Target="file:///C:/DATA/CODE/Stocks/BackTest/Plots/intraday_trades/Intraday_Trade_0113_YESBANK.NS_LOSS.png" TargetMode="External" Id="rId113"/><Relationship Type="http://schemas.openxmlformats.org/officeDocument/2006/relationships/hyperlink" Target="file:///C:/DATA/CODE/Stocks/BackTest/Plots/intraday_trades/Intraday_Trade_0114_YESBANK.NS_LOSS.png" TargetMode="External" Id="rId114"/><Relationship Type="http://schemas.openxmlformats.org/officeDocument/2006/relationships/hyperlink" Target="file:///C:/DATA/CODE/Stocks/BackTest/Plots/intraday_trades/Intraday_Trade_0115_YESBANK.NS_LOSS.png" TargetMode="External" Id="rId115"/><Relationship Type="http://schemas.openxmlformats.org/officeDocument/2006/relationships/hyperlink" Target="file:///C:/DATA/CODE/Stocks/BackTest/Plots/intraday_trades/Intraday_Trade_0116_ZYDUSLIFE.NS_PROFIT.png" TargetMode="External" Id="rId1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Trade_ID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Ticker</t>
        </is>
      </c>
      <c r="F1" s="1" t="inlineStr">
        <is>
          <t>Level</t>
        </is>
      </c>
      <c r="G1" s="1" t="inlineStr">
        <is>
          <t>Direction</t>
        </is>
      </c>
      <c r="H1" s="1" t="inlineStr">
        <is>
          <t>Entry_Price</t>
        </is>
      </c>
      <c r="I1" s="1" t="inlineStr">
        <is>
          <t>Exit_Price</t>
        </is>
      </c>
      <c r="J1" s="1" t="inlineStr">
        <is>
          <t>Position_Size</t>
        </is>
      </c>
      <c r="K1" s="1" t="inlineStr">
        <is>
          <t>Net_PnL</t>
        </is>
      </c>
      <c r="L1" s="1" t="inlineStr">
        <is>
          <t>Return_Pct</t>
        </is>
      </c>
      <c r="M1" s="1" t="inlineStr">
        <is>
          <t>Account_Balance</t>
        </is>
      </c>
      <c r="N1" s="1" t="inlineStr">
        <is>
          <t>Outcome</t>
        </is>
      </c>
      <c r="O1" s="1" t="inlineStr">
        <is>
          <t>Chart_PNG_URI</t>
        </is>
      </c>
    </row>
    <row r="2">
      <c r="A2" s="2" t="n">
        <v>1</v>
      </c>
      <c r="B2" s="2" t="n">
        <v>0</v>
      </c>
      <c r="C2" s="2" t="inlineStr">
        <is>
          <t>DEPOSIT</t>
        </is>
      </c>
      <c r="D2" s="2" t="inlineStr">
        <is>
          <t>2026-05-01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1000</v>
      </c>
      <c r="N2" s="2" t="inlineStr">
        <is>
          <t>DEPOSIT</t>
        </is>
      </c>
      <c r="O2" s="2" t="inlineStr">
        <is>
          <t>N/A</t>
        </is>
      </c>
    </row>
    <row r="3">
      <c r="A3" s="3" t="n">
        <v>2</v>
      </c>
      <c r="B3" s="3" t="n">
        <v>1</v>
      </c>
      <c r="C3" s="3" t="inlineStr">
        <is>
          <t>INTRADAY TRADE</t>
        </is>
      </c>
      <c r="D3" s="3" t="inlineStr">
        <is>
          <t>2026-06-16 13:00</t>
        </is>
      </c>
      <c r="E3" s="3" t="inlineStr">
        <is>
          <t>ADANIENT.NS</t>
        </is>
      </c>
      <c r="F3" s="3" t="inlineStr">
        <is>
          <t>prev_day_high</t>
        </is>
      </c>
      <c r="G3" s="3" t="inlineStr">
        <is>
          <t>LONG</t>
        </is>
      </c>
      <c r="H3" s="3" t="n">
        <v>2948</v>
      </c>
      <c r="I3" s="3" t="n">
        <v>2935.5</v>
      </c>
      <c r="J3" s="3" t="n">
        <v>2500</v>
      </c>
      <c r="K3" s="3" t="n">
        <v>-13.325</v>
      </c>
      <c r="L3" s="3" t="n">
        <v>-0.533</v>
      </c>
      <c r="M3" s="3" t="n">
        <v>986.675</v>
      </c>
      <c r="N3" s="3" t="inlineStr">
        <is>
          <t>LOSS</t>
        </is>
      </c>
      <c r="O3" s="4">
        <f>HYPERLINK("file:///C:/DATA/CODE/Stocks/BackTest/Plots/intraday_trades/Intraday_Trade_0001_ADANIENT.NS_LOSS.png", "View Intraday Plot Chart")</f>
        <v/>
      </c>
    </row>
    <row r="4">
      <c r="A4" s="3" t="n">
        <v>3</v>
      </c>
      <c r="B4" s="3" t="n">
        <v>2</v>
      </c>
      <c r="C4" s="3" t="inlineStr">
        <is>
          <t>INTRADAY TRADE</t>
        </is>
      </c>
      <c r="D4" s="3" t="inlineStr">
        <is>
          <t>2026-06-16 13:00</t>
        </is>
      </c>
      <c r="E4" s="3" t="inlineStr">
        <is>
          <t>ADANIENT.NS</t>
        </is>
      </c>
      <c r="F4" s="3" t="inlineStr">
        <is>
          <t>pivot_resistance</t>
        </is>
      </c>
      <c r="G4" s="3" t="inlineStr">
        <is>
          <t>LONG</t>
        </is>
      </c>
      <c r="H4" s="3" t="n">
        <v>2948</v>
      </c>
      <c r="I4" s="3" t="n">
        <v>2935.5</v>
      </c>
      <c r="J4" s="3" t="n">
        <v>2466.6875</v>
      </c>
      <c r="K4" s="3" t="n">
        <v>-13.147444375</v>
      </c>
      <c r="L4" s="3" t="n">
        <v>-0.533</v>
      </c>
      <c r="M4" s="3" t="n">
        <v>973.527555625</v>
      </c>
      <c r="N4" s="3" t="inlineStr">
        <is>
          <t>LOSS</t>
        </is>
      </c>
      <c r="O4" s="4">
        <f>HYPERLINK("file:///C:/DATA/CODE/Stocks/BackTest/Plots/intraday_trades/Intraday_Trade_0002_ADANIENT.NS_LOSS.png", "View Intraday Plot Chart")</f>
        <v/>
      </c>
    </row>
    <row r="5">
      <c r="A5" s="3" t="n">
        <v>4</v>
      </c>
      <c r="B5" s="3" t="n">
        <v>3</v>
      </c>
      <c r="C5" s="3" t="inlineStr">
        <is>
          <t>INTRADAY TRADE</t>
        </is>
      </c>
      <c r="D5" s="3" t="inlineStr">
        <is>
          <t>2026-06-18 10:30</t>
        </is>
      </c>
      <c r="E5" s="3" t="inlineStr">
        <is>
          <t>APOLLOHOSP.NS</t>
        </is>
      </c>
      <c r="F5" s="3" t="inlineStr">
        <is>
          <t>pivot_resistance</t>
        </is>
      </c>
      <c r="G5" s="3" t="inlineStr">
        <is>
          <t>LONG</t>
        </is>
      </c>
      <c r="H5" s="3" t="n">
        <v>8434</v>
      </c>
      <c r="I5" s="3" t="n">
        <v>8403</v>
      </c>
      <c r="J5" s="3" t="n">
        <v>2433.8188890625</v>
      </c>
      <c r="K5" s="3" t="n">
        <v>-11.60931610082813</v>
      </c>
      <c r="L5" s="3" t="n">
        <v>-0.477</v>
      </c>
      <c r="M5" s="3" t="n">
        <v>961.9182395241719</v>
      </c>
      <c r="N5" s="3" t="inlineStr">
        <is>
          <t>LOSS</t>
        </is>
      </c>
      <c r="O5" s="4">
        <f>HYPERLINK("file:///C:/DATA/CODE/Stocks/BackTest/Plots/intraday_trades/Intraday_Trade_0003_APOLLOHOSP.NS_LOSS.png", "View Intraday Plot Chart")</f>
        <v/>
      </c>
    </row>
    <row r="6">
      <c r="A6" s="2" t="n">
        <v>5</v>
      </c>
      <c r="B6" s="2" t="n">
        <v>4</v>
      </c>
      <c r="C6" s="2" t="inlineStr">
        <is>
          <t>INTRADAY TRADE</t>
        </is>
      </c>
      <c r="D6" s="2" t="inlineStr">
        <is>
          <t>2026-06-29 10:00</t>
        </is>
      </c>
      <c r="E6" s="2" t="inlineStr">
        <is>
          <t>AUROPHARMA.NS</t>
        </is>
      </c>
      <c r="F6" s="2" t="inlineStr">
        <is>
          <t>prev_day_high</t>
        </is>
      </c>
      <c r="G6" s="2" t="inlineStr">
        <is>
          <t>SHORT</t>
        </is>
      </c>
      <c r="H6" s="2" t="n">
        <v>1578.6</v>
      </c>
      <c r="I6" s="2" t="n">
        <v>1547.5</v>
      </c>
      <c r="J6" s="2" t="n">
        <v>2404.79559881043</v>
      </c>
      <c r="K6" s="2" t="n">
        <v>44.7772940498502</v>
      </c>
      <c r="L6" s="2" t="n">
        <v>1.862</v>
      </c>
      <c r="M6" s="2" t="n">
        <v>1006.695533574022</v>
      </c>
      <c r="N6" s="2" t="inlineStr">
        <is>
          <t>PROFIT</t>
        </is>
      </c>
      <c r="O6" s="5">
        <f>HYPERLINK("file:///C:/DATA/CODE/Stocks/BackTest/Plots/intraday_trades/Intraday_Trade_0004_AUROPHARMA.NS_PROFIT.png", "View Intraday Plot Chart")</f>
        <v/>
      </c>
    </row>
    <row r="7">
      <c r="A7" s="3" t="n">
        <v>6</v>
      </c>
      <c r="B7" s="3" t="n">
        <v>5</v>
      </c>
      <c r="C7" s="3" t="inlineStr">
        <is>
          <t>INTRADAY TRADE</t>
        </is>
      </c>
      <c r="D7" s="3" t="inlineStr">
        <is>
          <t>2026-06-22 09:45</t>
        </is>
      </c>
      <c r="E7" s="3" t="inlineStr">
        <is>
          <t>BAJFINANCE.NS</t>
        </is>
      </c>
      <c r="F7" s="3" t="inlineStr">
        <is>
          <t>pivot_resistance</t>
        </is>
      </c>
      <c r="G7" s="3" t="inlineStr">
        <is>
          <t>SHORT</t>
        </is>
      </c>
      <c r="H7" s="3" t="n">
        <v>967.65</v>
      </c>
      <c r="I7" s="3" t="n">
        <v>969.8</v>
      </c>
      <c r="J7" s="3" t="n">
        <v>2500</v>
      </c>
      <c r="K7" s="3" t="n">
        <v>-8.300000000000001</v>
      </c>
      <c r="L7" s="3" t="n">
        <v>-0.332</v>
      </c>
      <c r="M7" s="3" t="n">
        <v>998.3955335740221</v>
      </c>
      <c r="N7" s="3" t="inlineStr">
        <is>
          <t>LOSS</t>
        </is>
      </c>
      <c r="O7" s="4">
        <f>HYPERLINK("file:///C:/DATA/CODE/Stocks/BackTest/Plots/intraday_trades/Intraday_Trade_0005_BAJFINANCE.NS_LOSS.png", "View Intraday Plot Chart")</f>
        <v/>
      </c>
    </row>
    <row r="8">
      <c r="A8" s="2" t="n">
        <v>7</v>
      </c>
      <c r="B8" s="2" t="n">
        <v>6</v>
      </c>
      <c r="C8" s="2" t="inlineStr">
        <is>
          <t>INTRADAY TRADE</t>
        </is>
      </c>
      <c r="D8" s="2" t="inlineStr">
        <is>
          <t>2026-06-22 12:30</t>
        </is>
      </c>
      <c r="E8" s="2" t="inlineStr">
        <is>
          <t>BAJFINANCE.NS</t>
        </is>
      </c>
      <c r="F8" s="2" t="inlineStr">
        <is>
          <t>pivot_resistance</t>
        </is>
      </c>
      <c r="G8" s="2" t="inlineStr">
        <is>
          <t>LONG</t>
        </is>
      </c>
      <c r="H8" s="2" t="n">
        <v>965.65</v>
      </c>
      <c r="I8" s="2" t="n">
        <v>968.3</v>
      </c>
      <c r="J8" s="2" t="n">
        <v>2495.988833935055</v>
      </c>
      <c r="K8" s="2" t="n">
        <v>4.118381575992841</v>
      </c>
      <c r="L8" s="2" t="n">
        <v>0.165</v>
      </c>
      <c r="M8" s="2" t="n">
        <v>1002.513915150015</v>
      </c>
      <c r="N8" s="2" t="inlineStr">
        <is>
          <t>PROFIT</t>
        </is>
      </c>
      <c r="O8" s="5">
        <f>HYPERLINK("file:///C:/DATA/CODE/Stocks/BackTest/Plots/intraday_trades/Intraday_Trade_0006_BAJFINANCE.NS_PROFIT.png", "View Intraday Plot Chart")</f>
        <v/>
      </c>
    </row>
    <row r="9">
      <c r="A9" s="2" t="n">
        <v>8</v>
      </c>
      <c r="B9" s="2" t="n">
        <v>7</v>
      </c>
      <c r="C9" s="2" t="inlineStr">
        <is>
          <t>INTRADAY TRADE</t>
        </is>
      </c>
      <c r="D9" s="2" t="inlineStr">
        <is>
          <t>2026-06-18 12:00</t>
        </is>
      </c>
      <c r="E9" s="2" t="inlineStr">
        <is>
          <t>BALKRISIND.NS</t>
        </is>
      </c>
      <c r="F9" s="2" t="inlineStr">
        <is>
          <t>pivot_support</t>
        </is>
      </c>
      <c r="G9" s="2" t="inlineStr">
        <is>
          <t>LONG</t>
        </is>
      </c>
      <c r="H9" s="2" t="n">
        <v>2223.5</v>
      </c>
      <c r="I9" s="2" t="n">
        <v>2233</v>
      </c>
      <c r="J9" s="2" t="n">
        <v>2500</v>
      </c>
      <c r="K9" s="2" t="n">
        <v>7.925</v>
      </c>
      <c r="L9" s="2" t="n">
        <v>0.317</v>
      </c>
      <c r="M9" s="2" t="n">
        <v>1010.438915150015</v>
      </c>
      <c r="N9" s="2" t="inlineStr">
        <is>
          <t>PROFIT</t>
        </is>
      </c>
      <c r="O9" s="5">
        <f>HYPERLINK("file:///C:/DATA/CODE/Stocks/BackTest/Plots/intraday_trades/Intraday_Trade_0007_BALKRISIND.NS_PROFIT.png", "View Intraday Plot Chart")</f>
        <v/>
      </c>
    </row>
    <row r="10">
      <c r="A10" s="3" t="n">
        <v>9</v>
      </c>
      <c r="B10" s="3" t="n">
        <v>8</v>
      </c>
      <c r="C10" s="3" t="inlineStr">
        <is>
          <t>INTRADAY TRADE</t>
        </is>
      </c>
      <c r="D10" s="3" t="inlineStr">
        <is>
          <t>2026-06-30 12:00</t>
        </is>
      </c>
      <c r="E10" s="3" t="inlineStr">
        <is>
          <t>BANDHANBNK.NS</t>
        </is>
      </c>
      <c r="F10" s="3" t="inlineStr">
        <is>
          <t>pivot_resistance</t>
        </is>
      </c>
      <c r="G10" s="3" t="inlineStr">
        <is>
          <t>SHORT</t>
        </is>
      </c>
      <c r="H10" s="3" t="n">
        <v>203.32</v>
      </c>
      <c r="I10" s="3" t="n">
        <v>205.1</v>
      </c>
      <c r="J10" s="3" t="n">
        <v>2500</v>
      </c>
      <c r="K10" s="3" t="n">
        <v>-24.65</v>
      </c>
      <c r="L10" s="3" t="n">
        <v>-0.986</v>
      </c>
      <c r="M10" s="3" t="n">
        <v>985.788915150015</v>
      </c>
      <c r="N10" s="3" t="inlineStr">
        <is>
          <t>LOSS</t>
        </is>
      </c>
      <c r="O10" s="4">
        <f>HYPERLINK("file:///C:/DATA/CODE/Stocks/BackTest/Plots/intraday_trades/Intraday_Trade_0008_BANDHANBNK.NS_LOSS.png", "View Intraday Plot Chart")</f>
        <v/>
      </c>
    </row>
    <row r="11">
      <c r="A11" s="2" t="n">
        <v>10</v>
      </c>
      <c r="B11" s="2" t="n">
        <v>9</v>
      </c>
      <c r="C11" s="2" t="inlineStr">
        <is>
          <t>INTRADAY TRADE</t>
        </is>
      </c>
      <c r="D11" s="2" t="inlineStr">
        <is>
          <t>2026-06-19 10:00</t>
        </is>
      </c>
      <c r="E11" s="2" t="inlineStr">
        <is>
          <t>BEL.NS</t>
        </is>
      </c>
      <c r="F11" s="2" t="inlineStr">
        <is>
          <t>pivot_support</t>
        </is>
      </c>
      <c r="G11" s="2" t="inlineStr">
        <is>
          <t>LONG</t>
        </is>
      </c>
      <c r="H11" s="2" t="n">
        <v>426.4</v>
      </c>
      <c r="I11" s="2" t="n">
        <v>426.9</v>
      </c>
      <c r="J11" s="2" t="n">
        <v>2464.472287875038</v>
      </c>
      <c r="K11" s="2" t="n">
        <v>0.197157783030003</v>
      </c>
      <c r="L11" s="2" t="n">
        <v>0.008</v>
      </c>
      <c r="M11" s="2" t="n">
        <v>985.986072933045</v>
      </c>
      <c r="N11" s="2" t="inlineStr">
        <is>
          <t>PROFIT</t>
        </is>
      </c>
      <c r="O11" s="5">
        <f>HYPERLINK("file:///C:/DATA/CODE/Stocks/BackTest/Plots/intraday_trades/Intraday_Trade_0009_BEL.NS_PROFIT.png", "View Intraday Plot Chart")</f>
        <v/>
      </c>
    </row>
    <row r="12">
      <c r="A12" s="3" t="n">
        <v>11</v>
      </c>
      <c r="B12" s="3" t="n">
        <v>10</v>
      </c>
      <c r="C12" s="3" t="inlineStr">
        <is>
          <t>INTRADAY TRADE</t>
        </is>
      </c>
      <c r="D12" s="3" t="inlineStr">
        <is>
          <t>2026-06-22 15:15</t>
        </is>
      </c>
      <c r="E12" s="3" t="inlineStr">
        <is>
          <t>BEL.NS</t>
        </is>
      </c>
      <c r="F12" s="3" t="inlineStr">
        <is>
          <t>pivot_resistance+prev_day_high</t>
        </is>
      </c>
      <c r="G12" s="3" t="inlineStr">
        <is>
          <t>SHORT</t>
        </is>
      </c>
      <c r="H12" s="3" t="n">
        <v>431.2</v>
      </c>
      <c r="I12" s="3" t="n">
        <v>431.1</v>
      </c>
      <c r="J12" s="3" t="n">
        <v>2464.965182332613</v>
      </c>
      <c r="K12" s="3" t="n">
        <v>-2.119870056806047</v>
      </c>
      <c r="L12" s="3" t="n">
        <v>-0.08599999999999999</v>
      </c>
      <c r="M12" s="3" t="n">
        <v>983.866202876239</v>
      </c>
      <c r="N12" s="3" t="inlineStr">
        <is>
          <t>LOSS</t>
        </is>
      </c>
      <c r="O12" s="4">
        <f>HYPERLINK("file:///C:/DATA/CODE/Stocks/BackTest/Plots/intraday_trades/Intraday_Trade_0010_BEL.NS_LOSS.png", "View Intraday Plot Chart")</f>
        <v/>
      </c>
    </row>
    <row r="13">
      <c r="A13" s="2" t="n">
        <v>12</v>
      </c>
      <c r="B13" s="2" t="n">
        <v>11</v>
      </c>
      <c r="C13" s="2" t="inlineStr">
        <is>
          <t>INTRADAY TRADE</t>
        </is>
      </c>
      <c r="D13" s="2" t="inlineStr">
        <is>
          <t>2026-06-22 10:00</t>
        </is>
      </c>
      <c r="E13" s="2" t="inlineStr">
        <is>
          <t>BEL.NS</t>
        </is>
      </c>
      <c r="F13" s="2" t="inlineStr">
        <is>
          <t>pivot_resistance</t>
        </is>
      </c>
      <c r="G13" s="2" t="inlineStr">
        <is>
          <t>LONG</t>
        </is>
      </c>
      <c r="H13" s="2" t="n">
        <v>428.1</v>
      </c>
      <c r="I13" s="2" t="n">
        <v>431.1</v>
      </c>
      <c r="J13" s="2" t="n">
        <v>2459.665507190598</v>
      </c>
      <c r="K13" s="2" t="n">
        <v>14.53662314749643</v>
      </c>
      <c r="L13" s="2" t="n">
        <v>0.591</v>
      </c>
      <c r="M13" s="2" t="n">
        <v>998.4028260237354</v>
      </c>
      <c r="N13" s="2" t="inlineStr">
        <is>
          <t>PROFIT</t>
        </is>
      </c>
      <c r="O13" s="5">
        <f>HYPERLINK("file:///C:/DATA/CODE/Stocks/BackTest/Plots/intraday_trades/Intraday_Trade_0011_BEL.NS_PROFIT.png", "View Intraday Plot Chart")</f>
        <v/>
      </c>
    </row>
    <row r="14">
      <c r="A14" s="3" t="n">
        <v>13</v>
      </c>
      <c r="B14" s="3" t="n">
        <v>12</v>
      </c>
      <c r="C14" s="3" t="inlineStr">
        <is>
          <t>INTRADAY TRADE</t>
        </is>
      </c>
      <c r="D14" s="3" t="inlineStr">
        <is>
          <t>2026-06-23 09:45</t>
        </is>
      </c>
      <c r="E14" s="3" t="inlineStr">
        <is>
          <t>BEL.NS</t>
        </is>
      </c>
      <c r="F14" s="3" t="inlineStr">
        <is>
          <t>pivot_resistance+prev_day_high</t>
        </is>
      </c>
      <c r="G14" s="3" t="inlineStr">
        <is>
          <t>LONG</t>
        </is>
      </c>
      <c r="H14" s="3" t="n">
        <v>431.65</v>
      </c>
      <c r="I14" s="3" t="n">
        <v>429.8</v>
      </c>
      <c r="J14" s="3" t="n">
        <v>2496.007065059338</v>
      </c>
      <c r="K14" s="3" t="n">
        <v>-13.42851801001924</v>
      </c>
      <c r="L14" s="3" t="n">
        <v>-0.538</v>
      </c>
      <c r="M14" s="3" t="n">
        <v>984.9743080137162</v>
      </c>
      <c r="N14" s="3" t="inlineStr">
        <is>
          <t>LOSS</t>
        </is>
      </c>
      <c r="O14" s="4">
        <f>HYPERLINK("file:///C:/DATA/CODE/Stocks/BackTest/Plots/intraday_trades/Intraday_Trade_0012_BEL.NS_LOSS.png", "View Intraday Plot Chart")</f>
        <v/>
      </c>
    </row>
    <row r="15">
      <c r="A15" s="2" t="n">
        <v>14</v>
      </c>
      <c r="B15" s="2" t="n">
        <v>13</v>
      </c>
      <c r="C15" s="2" t="inlineStr">
        <is>
          <t>INTRADAY TRADE</t>
        </is>
      </c>
      <c r="D15" s="2" t="inlineStr">
        <is>
          <t>2026-07-06 10:00</t>
        </is>
      </c>
      <c r="E15" s="2" t="inlineStr">
        <is>
          <t>BEL.NS</t>
        </is>
      </c>
      <c r="F15" s="2" t="inlineStr">
        <is>
          <t>pivot_resistance+prev_day_high</t>
        </is>
      </c>
      <c r="G15" s="2" t="inlineStr">
        <is>
          <t>SHORT</t>
        </is>
      </c>
      <c r="H15" s="2" t="n">
        <v>426.1</v>
      </c>
      <c r="I15" s="2" t="n">
        <v>425.2</v>
      </c>
      <c r="J15" s="2" t="n">
        <v>2462.43577003429</v>
      </c>
      <c r="K15" s="2" t="n">
        <v>2.511684485434976</v>
      </c>
      <c r="L15" s="2" t="n">
        <v>0.102</v>
      </c>
      <c r="M15" s="2" t="n">
        <v>987.4859924991512</v>
      </c>
      <c r="N15" s="2" t="inlineStr">
        <is>
          <t>PROFIT</t>
        </is>
      </c>
      <c r="O15" s="5">
        <f>HYPERLINK("file:///C:/DATA/CODE/Stocks/BackTest/Plots/intraday_trades/Intraday_Trade_0013_BEL.NS_PROFIT.png", "View Intraday Plot Chart")</f>
        <v/>
      </c>
    </row>
    <row r="16">
      <c r="A16" s="2" t="n">
        <v>15</v>
      </c>
      <c r="B16" s="2" t="n">
        <v>14</v>
      </c>
      <c r="C16" s="2" t="inlineStr">
        <is>
          <t>INTRADAY TRADE</t>
        </is>
      </c>
      <c r="D16" s="2" t="inlineStr">
        <is>
          <t>2026-07-06 10:00</t>
        </is>
      </c>
      <c r="E16" s="2" t="inlineStr">
        <is>
          <t>BEL.NS</t>
        </is>
      </c>
      <c r="F16" s="2" t="inlineStr">
        <is>
          <t>pivot_resistance</t>
        </is>
      </c>
      <c r="G16" s="2" t="inlineStr">
        <is>
          <t>SHORT</t>
        </is>
      </c>
      <c r="H16" s="2" t="n">
        <v>426.1</v>
      </c>
      <c r="I16" s="2" t="n">
        <v>425.2</v>
      </c>
      <c r="J16" s="2" t="n">
        <v>2468.714981247878</v>
      </c>
      <c r="K16" s="2" t="n">
        <v>2.518089280872835</v>
      </c>
      <c r="L16" s="2" t="n">
        <v>0.102</v>
      </c>
      <c r="M16" s="2" t="n">
        <v>990.004081780024</v>
      </c>
      <c r="N16" s="2" t="inlineStr">
        <is>
          <t>PROFIT</t>
        </is>
      </c>
      <c r="O16" s="5">
        <f>HYPERLINK("file:///C:/DATA/CODE/Stocks/BackTest/Plots/intraday_trades/Intraday_Trade_0014_BEL.NS_PROFIT.png", "View Intraday Plot Chart")</f>
        <v/>
      </c>
    </row>
    <row r="17">
      <c r="A17" s="2" t="n">
        <v>16</v>
      </c>
      <c r="B17" s="2" t="n">
        <v>15</v>
      </c>
      <c r="C17" s="2" t="inlineStr">
        <is>
          <t>INTRADAY TRADE</t>
        </is>
      </c>
      <c r="D17" s="2" t="inlineStr">
        <is>
          <t>2026-06-29 10:15</t>
        </is>
      </c>
      <c r="E17" s="2" t="inlineStr">
        <is>
          <t>BEML.NS</t>
        </is>
      </c>
      <c r="F17" s="2" t="inlineStr">
        <is>
          <t>pivot_resistance</t>
        </is>
      </c>
      <c r="G17" s="2" t="inlineStr">
        <is>
          <t>SHORT</t>
        </is>
      </c>
      <c r="H17" s="2" t="n">
        <v>1766.2</v>
      </c>
      <c r="I17" s="2" t="n">
        <v>1709.2</v>
      </c>
      <c r="J17" s="2" t="n">
        <v>2475.01020445006</v>
      </c>
      <c r="K17" s="2" t="n">
        <v>77.22031837884188</v>
      </c>
      <c r="L17" s="2" t="n">
        <v>3.12</v>
      </c>
      <c r="M17" s="2" t="n">
        <v>1067.224400158866</v>
      </c>
      <c r="N17" s="2" t="inlineStr">
        <is>
          <t>PROFIT</t>
        </is>
      </c>
      <c r="O17" s="5">
        <f>HYPERLINK("file:///C:/DATA/CODE/Stocks/BackTest/Plots/intraday_trades/Intraday_Trade_0015_BEML.NS_PROFIT.png", "View Intraday Plot Chart")</f>
        <v/>
      </c>
    </row>
    <row r="18">
      <c r="A18" s="2" t="n">
        <v>17</v>
      </c>
      <c r="B18" s="2" t="n">
        <v>16</v>
      </c>
      <c r="C18" s="2" t="inlineStr">
        <is>
          <t>INTRADAY TRADE</t>
        </is>
      </c>
      <c r="D18" s="2" t="inlineStr">
        <is>
          <t>2026-06-19 12:30</t>
        </is>
      </c>
      <c r="E18" s="2" t="inlineStr">
        <is>
          <t>BHARATFORG.NS</t>
        </is>
      </c>
      <c r="F18" s="2" t="inlineStr">
        <is>
          <t>pivot_resistance</t>
        </is>
      </c>
      <c r="G18" s="2" t="inlineStr">
        <is>
          <t>LONG</t>
        </is>
      </c>
      <c r="H18" s="2" t="n">
        <v>2029.2</v>
      </c>
      <c r="I18" s="2" t="n">
        <v>2036</v>
      </c>
      <c r="J18" s="2" t="n">
        <v>2500</v>
      </c>
      <c r="K18" s="2" t="n">
        <v>5.625000000000001</v>
      </c>
      <c r="L18" s="2" t="n">
        <v>0.225</v>
      </c>
      <c r="M18" s="2" t="n">
        <v>1072.849400158866</v>
      </c>
      <c r="N18" s="2" t="inlineStr">
        <is>
          <t>PROFIT</t>
        </is>
      </c>
      <c r="O18" s="5">
        <f>HYPERLINK("file:///C:/DATA/CODE/Stocks/BackTest/Plots/intraday_trades/Intraday_Trade_0016_BHARATFORG.NS_PROFIT.png", "View Intraday Plot Chart")</f>
        <v/>
      </c>
    </row>
    <row r="19">
      <c r="A19" s="2" t="n">
        <v>18</v>
      </c>
      <c r="B19" s="2" t="n">
        <v>17</v>
      </c>
      <c r="C19" s="2" t="inlineStr">
        <is>
          <t>INTRADAY TRADE</t>
        </is>
      </c>
      <c r="D19" s="2" t="inlineStr">
        <is>
          <t>2026-06-30 09:45</t>
        </is>
      </c>
      <c r="E19" s="2" t="inlineStr">
        <is>
          <t>BHARATFORG.NS</t>
        </is>
      </c>
      <c r="F19" s="2" t="inlineStr">
        <is>
          <t>pivot_support+prev_day_low</t>
        </is>
      </c>
      <c r="G19" s="2" t="inlineStr">
        <is>
          <t>LONG</t>
        </is>
      </c>
      <c r="H19" s="2" t="n">
        <v>2086.5</v>
      </c>
      <c r="I19" s="2" t="n">
        <v>2150</v>
      </c>
      <c r="J19" s="2" t="n">
        <v>2500</v>
      </c>
      <c r="K19" s="2" t="n">
        <v>73.3</v>
      </c>
      <c r="L19" s="2" t="n">
        <v>2.932</v>
      </c>
      <c r="M19" s="2" t="n">
        <v>1146.149400158866</v>
      </c>
      <c r="N19" s="2" t="inlineStr">
        <is>
          <t>PROFIT</t>
        </is>
      </c>
      <c r="O19" s="5">
        <f>HYPERLINK("file:///C:/DATA/CODE/Stocks/BackTest/Plots/intraday_trades/Intraday_Trade_0017_BHARATFORG.NS_PROFIT.png", "View Intraday Plot Chart")</f>
        <v/>
      </c>
    </row>
    <row r="20">
      <c r="A20" s="2" t="n">
        <v>19</v>
      </c>
      <c r="B20" s="2" t="n">
        <v>18</v>
      </c>
      <c r="C20" s="2" t="inlineStr">
        <is>
          <t>INTRADAY TRADE</t>
        </is>
      </c>
      <c r="D20" s="2" t="inlineStr">
        <is>
          <t>2026-06-30 09:45</t>
        </is>
      </c>
      <c r="E20" s="2" t="inlineStr">
        <is>
          <t>BHARATFORG.NS</t>
        </is>
      </c>
      <c r="F20" s="2" t="inlineStr">
        <is>
          <t>pivot_support</t>
        </is>
      </c>
      <c r="G20" s="2" t="inlineStr">
        <is>
          <t>LONG</t>
        </is>
      </c>
      <c r="H20" s="2" t="n">
        <v>2086.5</v>
      </c>
      <c r="I20" s="2" t="n">
        <v>2150</v>
      </c>
      <c r="J20" s="2" t="n">
        <v>2500</v>
      </c>
      <c r="K20" s="2" t="n">
        <v>73.3</v>
      </c>
      <c r="L20" s="2" t="n">
        <v>2.932</v>
      </c>
      <c r="M20" s="2" t="n">
        <v>1219.449400158866</v>
      </c>
      <c r="N20" s="2" t="inlineStr">
        <is>
          <t>PROFIT</t>
        </is>
      </c>
      <c r="O20" s="5">
        <f>HYPERLINK("file:///C:/DATA/CODE/Stocks/BackTest/Plots/intraday_trades/Intraday_Trade_0018_BHARATFORG.NS_PROFIT.png", "View Intraday Plot Chart")</f>
        <v/>
      </c>
    </row>
    <row r="21">
      <c r="A21" s="2" t="n">
        <v>20</v>
      </c>
      <c r="B21" s="2" t="n">
        <v>19</v>
      </c>
      <c r="C21" s="2" t="inlineStr">
        <is>
          <t>INTRADAY TRADE</t>
        </is>
      </c>
      <c r="D21" s="2" t="inlineStr">
        <is>
          <t>2026-07-01 13:15</t>
        </is>
      </c>
      <c r="E21" s="2" t="inlineStr">
        <is>
          <t>BHARTIARTL.NS</t>
        </is>
      </c>
      <c r="F21" s="2" t="inlineStr">
        <is>
          <t>pivot_resistance+prev_day_high</t>
        </is>
      </c>
      <c r="G21" s="2" t="inlineStr">
        <is>
          <t>SHORT</t>
        </is>
      </c>
      <c r="H21" s="2" t="n">
        <v>1877.4</v>
      </c>
      <c r="I21" s="2" t="n">
        <v>1869.3</v>
      </c>
      <c r="J21" s="2" t="n">
        <v>2500</v>
      </c>
      <c r="K21" s="2" t="n">
        <v>8.050000000000001</v>
      </c>
      <c r="L21" s="2" t="n">
        <v>0.322</v>
      </c>
      <c r="M21" s="2" t="n">
        <v>1227.499400158866</v>
      </c>
      <c r="N21" s="2" t="inlineStr">
        <is>
          <t>PROFIT</t>
        </is>
      </c>
      <c r="O21" s="5">
        <f>HYPERLINK("file:///C:/DATA/CODE/Stocks/BackTest/Plots/intraday_trades/Intraday_Trade_0019_BHARTIARTL.NS_PROFIT.png", "View Intraday Plot Chart")</f>
        <v/>
      </c>
    </row>
    <row r="22">
      <c r="A22" s="3" t="n">
        <v>21</v>
      </c>
      <c r="B22" s="3" t="n">
        <v>20</v>
      </c>
      <c r="C22" s="3" t="inlineStr">
        <is>
          <t>INTRADAY TRADE</t>
        </is>
      </c>
      <c r="D22" s="3" t="inlineStr">
        <is>
          <t>2026-07-01 14:00</t>
        </is>
      </c>
      <c r="E22" s="3" t="inlineStr">
        <is>
          <t>BHARTIARTL.NS</t>
        </is>
      </c>
      <c r="F22" s="3" t="inlineStr">
        <is>
          <t>pivot_resistance</t>
        </is>
      </c>
      <c r="G22" s="3" t="inlineStr">
        <is>
          <t>LONG</t>
        </is>
      </c>
      <c r="H22" s="3" t="n">
        <v>1876.4</v>
      </c>
      <c r="I22" s="3" t="n">
        <v>1867.7</v>
      </c>
      <c r="J22" s="3" t="n">
        <v>2500</v>
      </c>
      <c r="K22" s="3" t="n">
        <v>-14.325</v>
      </c>
      <c r="L22" s="3" t="n">
        <v>-0.573</v>
      </c>
      <c r="M22" s="3" t="n">
        <v>1213.174400158866</v>
      </c>
      <c r="N22" s="3" t="inlineStr">
        <is>
          <t>LOSS</t>
        </is>
      </c>
      <c r="O22" s="4">
        <f>HYPERLINK("file:///C:/DATA/CODE/Stocks/BackTest/Plots/intraday_trades/Intraday_Trade_0020_BHARTIARTL.NS_LOSS.png", "View Intraday Plot Chart")</f>
        <v/>
      </c>
    </row>
    <row r="23">
      <c r="A23" s="3" t="n">
        <v>22</v>
      </c>
      <c r="B23" s="3" t="n">
        <v>21</v>
      </c>
      <c r="C23" s="3" t="inlineStr">
        <is>
          <t>INTRADAY TRADE</t>
        </is>
      </c>
      <c r="D23" s="3" t="inlineStr">
        <is>
          <t>2026-06-30 10:15</t>
        </is>
      </c>
      <c r="E23" s="3" t="inlineStr">
        <is>
          <t>BHEL.NS</t>
        </is>
      </c>
      <c r="F23" s="3" t="inlineStr">
        <is>
          <t>prev_day_high</t>
        </is>
      </c>
      <c r="G23" s="3" t="inlineStr">
        <is>
          <t>SHORT</t>
        </is>
      </c>
      <c r="H23" s="3" t="n">
        <v>416.7</v>
      </c>
      <c r="I23" s="3" t="n">
        <v>419.75</v>
      </c>
      <c r="J23" s="3" t="n">
        <v>2500</v>
      </c>
      <c r="K23" s="3" t="n">
        <v>-21.05</v>
      </c>
      <c r="L23" s="3" t="n">
        <v>-0.842</v>
      </c>
      <c r="M23" s="3" t="n">
        <v>1192.124400158866</v>
      </c>
      <c r="N23" s="3" t="inlineStr">
        <is>
          <t>LOSS</t>
        </is>
      </c>
      <c r="O23" s="4">
        <f>HYPERLINK("file:///C:/DATA/CODE/Stocks/BackTest/Plots/intraday_trades/Intraday_Trade_0021_BHEL.NS_LOSS.png", "View Intraday Plot Chart")</f>
        <v/>
      </c>
    </row>
    <row r="24">
      <c r="A24" s="3" t="n">
        <v>23</v>
      </c>
      <c r="B24" s="3" t="n">
        <v>22</v>
      </c>
      <c r="C24" s="3" t="inlineStr">
        <is>
          <t>INTRADAY TRADE</t>
        </is>
      </c>
      <c r="D24" s="3" t="inlineStr">
        <is>
          <t>2026-06-16 09:45</t>
        </is>
      </c>
      <c r="E24" s="3" t="inlineStr">
        <is>
          <t>BPCL.NS</t>
        </is>
      </c>
      <c r="F24" s="3" t="inlineStr">
        <is>
          <t>pivot_resistance</t>
        </is>
      </c>
      <c r="G24" s="3" t="inlineStr">
        <is>
          <t>LONG</t>
        </is>
      </c>
      <c r="H24" s="3" t="n">
        <v>312.05</v>
      </c>
      <c r="I24" s="3" t="n">
        <v>310.8</v>
      </c>
      <c r="J24" s="3" t="n">
        <v>2500</v>
      </c>
      <c r="K24" s="3" t="n">
        <v>-12.75</v>
      </c>
      <c r="L24" s="3" t="n">
        <v>-0.51</v>
      </c>
      <c r="M24" s="3" t="n">
        <v>1179.374400158866</v>
      </c>
      <c r="N24" s="3" t="inlineStr">
        <is>
          <t>LOSS</t>
        </is>
      </c>
      <c r="O24" s="4">
        <f>HYPERLINK("file:///C:/DATA/CODE/Stocks/BackTest/Plots/intraday_trades/Intraday_Trade_0022_BPCL.NS_LOSS.png", "View Intraday Plot Chart")</f>
        <v/>
      </c>
    </row>
    <row r="25">
      <c r="A25" s="2" t="n">
        <v>24</v>
      </c>
      <c r="B25" s="2" t="n">
        <v>23</v>
      </c>
      <c r="C25" s="2" t="inlineStr">
        <is>
          <t>INTRADAY TRADE</t>
        </is>
      </c>
      <c r="D25" s="2" t="inlineStr">
        <is>
          <t>2026-07-01 11:00</t>
        </is>
      </c>
      <c r="E25" s="2" t="inlineStr">
        <is>
          <t>BPCL.NS</t>
        </is>
      </c>
      <c r="F25" s="2" t="inlineStr">
        <is>
          <t>pivot_resistance+prev_day_high</t>
        </is>
      </c>
      <c r="G25" s="2" t="inlineStr">
        <is>
          <t>LONG</t>
        </is>
      </c>
      <c r="H25" s="2" t="n">
        <v>302.35</v>
      </c>
      <c r="I25" s="2" t="n">
        <v>303.8</v>
      </c>
      <c r="J25" s="2" t="n">
        <v>2500</v>
      </c>
      <c r="K25" s="2" t="n">
        <v>9.25</v>
      </c>
      <c r="L25" s="2" t="n">
        <v>0.37</v>
      </c>
      <c r="M25" s="2" t="n">
        <v>1188.624400158866</v>
      </c>
      <c r="N25" s="2" t="inlineStr">
        <is>
          <t>PROFIT</t>
        </is>
      </c>
      <c r="O25" s="5">
        <f>HYPERLINK("file:///C:/DATA/CODE/Stocks/BackTest/Plots/intraday_trades/Intraday_Trade_0023_BPCL.NS_PROFIT.png", "View Intraday Plot Chart")</f>
        <v/>
      </c>
    </row>
    <row r="26">
      <c r="A26" s="2" t="n">
        <v>25</v>
      </c>
      <c r="B26" s="2" t="n">
        <v>24</v>
      </c>
      <c r="C26" s="2" t="inlineStr">
        <is>
          <t>INTRADAY TRADE</t>
        </is>
      </c>
      <c r="D26" s="2" t="inlineStr">
        <is>
          <t>2026-07-02 11:00</t>
        </is>
      </c>
      <c r="E26" s="2" t="inlineStr">
        <is>
          <t>COALINDIA.NS</t>
        </is>
      </c>
      <c r="F26" s="2" t="inlineStr">
        <is>
          <t>pivot_support+prev_day_low</t>
        </is>
      </c>
      <c r="G26" s="2" t="inlineStr">
        <is>
          <t>LONG</t>
        </is>
      </c>
      <c r="H26" s="2" t="n">
        <v>434.45</v>
      </c>
      <c r="I26" s="2" t="n">
        <v>439</v>
      </c>
      <c r="J26" s="2" t="n">
        <v>2500</v>
      </c>
      <c r="K26" s="2" t="n">
        <v>23.425</v>
      </c>
      <c r="L26" s="2" t="n">
        <v>0.9370000000000001</v>
      </c>
      <c r="M26" s="2" t="n">
        <v>1212.049400158866</v>
      </c>
      <c r="N26" s="2" t="inlineStr">
        <is>
          <t>PROFIT</t>
        </is>
      </c>
      <c r="O26" s="5">
        <f>HYPERLINK("file:///C:/DATA/CODE/Stocks/BackTest/Plots/intraday_trades/Intraday_Trade_0024_COALINDIA.NS_PROFIT.png", "View Intraday Plot Chart")</f>
        <v/>
      </c>
    </row>
    <row r="27">
      <c r="A27" s="3" t="n">
        <v>26</v>
      </c>
      <c r="B27" s="3" t="n">
        <v>25</v>
      </c>
      <c r="C27" s="3" t="inlineStr">
        <is>
          <t>INTRADAY TRADE</t>
        </is>
      </c>
      <c r="D27" s="3" t="inlineStr">
        <is>
          <t>2026-06-19 10:00</t>
        </is>
      </c>
      <c r="E27" s="3" t="inlineStr">
        <is>
          <t>DIVISLAB.NS</t>
        </is>
      </c>
      <c r="F27" s="3" t="inlineStr">
        <is>
          <t>prev_day_high</t>
        </is>
      </c>
      <c r="G27" s="3" t="inlineStr">
        <is>
          <t>LONG</t>
        </is>
      </c>
      <c r="H27" s="3" t="n">
        <v>6762.5</v>
      </c>
      <c r="I27" s="3" t="n">
        <v>6730.5</v>
      </c>
      <c r="J27" s="3" t="n">
        <v>2500</v>
      </c>
      <c r="K27" s="3" t="n">
        <v>-14.55</v>
      </c>
      <c r="L27" s="3" t="n">
        <v>-0.582</v>
      </c>
      <c r="M27" s="3" t="n">
        <v>1197.499400158866</v>
      </c>
      <c r="N27" s="3" t="inlineStr">
        <is>
          <t>LOSS</t>
        </is>
      </c>
      <c r="O27" s="4">
        <f>HYPERLINK("file:///C:/DATA/CODE/Stocks/BackTest/Plots/intraday_trades/Intraday_Trade_0025_DIVISLAB.NS_LOSS.png", "View Intraday Plot Chart")</f>
        <v/>
      </c>
    </row>
    <row r="28">
      <c r="A28" s="2" t="n">
        <v>27</v>
      </c>
      <c r="B28" s="2" t="n">
        <v>26</v>
      </c>
      <c r="C28" s="2" t="inlineStr">
        <is>
          <t>INTRADAY TRADE</t>
        </is>
      </c>
      <c r="D28" s="2" t="inlineStr">
        <is>
          <t>2026-07-01 09:45</t>
        </is>
      </c>
      <c r="E28" s="2" t="inlineStr">
        <is>
          <t>DIXON.NS</t>
        </is>
      </c>
      <c r="F28" s="2" t="inlineStr">
        <is>
          <t>pivot_support</t>
        </is>
      </c>
      <c r="G28" s="2" t="inlineStr">
        <is>
          <t>LONG</t>
        </is>
      </c>
      <c r="H28" s="2" t="n">
        <v>11838</v>
      </c>
      <c r="I28" s="2" t="n">
        <v>11977</v>
      </c>
      <c r="J28" s="2" t="n">
        <v>2500</v>
      </c>
      <c r="K28" s="2" t="n">
        <v>26.6</v>
      </c>
      <c r="L28" s="2" t="n">
        <v>1.064</v>
      </c>
      <c r="M28" s="2" t="n">
        <v>1224.099400158866</v>
      </c>
      <c r="N28" s="2" t="inlineStr">
        <is>
          <t>PROFIT</t>
        </is>
      </c>
      <c r="O28" s="5">
        <f>HYPERLINK("file:///C:/DATA/CODE/Stocks/BackTest/Plots/intraday_trades/Intraday_Trade_0026_DIXON.NS_PROFIT.png", "View Intraday Plot Chart")</f>
        <v/>
      </c>
    </row>
    <row r="29">
      <c r="A29" s="2" t="n">
        <v>28</v>
      </c>
      <c r="B29" s="2" t="n">
        <v>27</v>
      </c>
      <c r="C29" s="2" t="inlineStr">
        <is>
          <t>INTRADAY TRADE</t>
        </is>
      </c>
      <c r="D29" s="2" t="inlineStr">
        <is>
          <t>2026-06-30 10:00</t>
        </is>
      </c>
      <c r="E29" s="2" t="inlineStr">
        <is>
          <t>DRREDDY.NS</t>
        </is>
      </c>
      <c r="F29" s="2" t="inlineStr">
        <is>
          <t>prev_day_low</t>
        </is>
      </c>
      <c r="G29" s="2" t="inlineStr">
        <is>
          <t>LONG</t>
        </is>
      </c>
      <c r="H29" s="2" t="n">
        <v>1355</v>
      </c>
      <c r="I29" s="2" t="n">
        <v>1357.1</v>
      </c>
      <c r="J29" s="2" t="n">
        <v>2500</v>
      </c>
      <c r="K29" s="2" t="n">
        <v>1.125</v>
      </c>
      <c r="L29" s="2" t="n">
        <v>0.045</v>
      </c>
      <c r="M29" s="2" t="n">
        <v>1225.224400158866</v>
      </c>
      <c r="N29" s="2" t="inlineStr">
        <is>
          <t>PROFIT</t>
        </is>
      </c>
      <c r="O29" s="5">
        <f>HYPERLINK("file:///C:/DATA/CODE/Stocks/BackTest/Plots/intraday_trades/Intraday_Trade_0027_DRREDDY.NS_PROFIT.png", "View Intraday Plot Chart")</f>
        <v/>
      </c>
    </row>
    <row r="30">
      <c r="A30" s="2" t="n">
        <v>29</v>
      </c>
      <c r="B30" s="2" t="n">
        <v>28</v>
      </c>
      <c r="C30" s="2" t="inlineStr">
        <is>
          <t>INTRADAY TRADE</t>
        </is>
      </c>
      <c r="D30" s="2" t="inlineStr">
        <is>
          <t>2026-06-30 10:00</t>
        </is>
      </c>
      <c r="E30" s="2" t="inlineStr">
        <is>
          <t>DRREDDY.NS</t>
        </is>
      </c>
      <c r="F30" s="2" t="inlineStr">
        <is>
          <t>pivot_support</t>
        </is>
      </c>
      <c r="G30" s="2" t="inlineStr">
        <is>
          <t>LONG</t>
        </is>
      </c>
      <c r="H30" s="2" t="n">
        <v>1355</v>
      </c>
      <c r="I30" s="2" t="n">
        <v>1357.1</v>
      </c>
      <c r="J30" s="2" t="n">
        <v>2500</v>
      </c>
      <c r="K30" s="2" t="n">
        <v>1.125</v>
      </c>
      <c r="L30" s="2" t="n">
        <v>0.045</v>
      </c>
      <c r="M30" s="2" t="n">
        <v>1226.349400158866</v>
      </c>
      <c r="N30" s="2" t="inlineStr">
        <is>
          <t>PROFIT</t>
        </is>
      </c>
      <c r="O30" s="5">
        <f>HYPERLINK("file:///C:/DATA/CODE/Stocks/BackTest/Plots/intraday_trades/Intraday_Trade_0028_DRREDDY.NS_PROFIT.png", "View Intraday Plot Chart")</f>
        <v/>
      </c>
    </row>
    <row r="31">
      <c r="A31" s="3" t="n">
        <v>30</v>
      </c>
      <c r="B31" s="3" t="n">
        <v>29</v>
      </c>
      <c r="C31" s="3" t="inlineStr">
        <is>
          <t>INTRADAY TRADE</t>
        </is>
      </c>
      <c r="D31" s="3" t="inlineStr">
        <is>
          <t>2026-06-24 11:15</t>
        </is>
      </c>
      <c r="E31" s="3" t="inlineStr">
        <is>
          <t>EICHERMOT.NS</t>
        </is>
      </c>
      <c r="F31" s="3" t="inlineStr">
        <is>
          <t>prev_day_low</t>
        </is>
      </c>
      <c r="G31" s="3" t="inlineStr">
        <is>
          <t>SHORT</t>
        </is>
      </c>
      <c r="H31" s="3" t="n">
        <v>7558</v>
      </c>
      <c r="I31" s="3" t="n">
        <v>7591.5</v>
      </c>
      <c r="J31" s="3" t="n">
        <v>2500</v>
      </c>
      <c r="K31" s="3" t="n">
        <v>-13.825</v>
      </c>
      <c r="L31" s="3" t="n">
        <v>-0.553</v>
      </c>
      <c r="M31" s="3" t="n">
        <v>1212.524400158866</v>
      </c>
      <c r="N31" s="3" t="inlineStr">
        <is>
          <t>LOSS</t>
        </is>
      </c>
      <c r="O31" s="4">
        <f>HYPERLINK("file:///C:/DATA/CODE/Stocks/BackTest/Plots/intraday_trades/Intraday_Trade_0029_EICHERMOT.NS_LOSS.png", "View Intraday Plot Chart")</f>
        <v/>
      </c>
    </row>
    <row r="32">
      <c r="A32" s="3" t="n">
        <v>31</v>
      </c>
      <c r="B32" s="3" t="n">
        <v>30</v>
      </c>
      <c r="C32" s="3" t="inlineStr">
        <is>
          <t>INTRADAY TRADE</t>
        </is>
      </c>
      <c r="D32" s="3" t="inlineStr">
        <is>
          <t>2026-06-24 09:45</t>
        </is>
      </c>
      <c r="E32" s="3" t="inlineStr">
        <is>
          <t>EICHERMOT.NS</t>
        </is>
      </c>
      <c r="F32" s="3" t="inlineStr">
        <is>
          <t>pivot_support</t>
        </is>
      </c>
      <c r="G32" s="3" t="inlineStr">
        <is>
          <t>SHORT</t>
        </is>
      </c>
      <c r="H32" s="3" t="n">
        <v>7533</v>
      </c>
      <c r="I32" s="3" t="n">
        <v>7587</v>
      </c>
      <c r="J32" s="3" t="n">
        <v>2500</v>
      </c>
      <c r="K32" s="3" t="n">
        <v>-20.675</v>
      </c>
      <c r="L32" s="3" t="n">
        <v>-0.827</v>
      </c>
      <c r="M32" s="3" t="n">
        <v>1191.849400158866</v>
      </c>
      <c r="N32" s="3" t="inlineStr">
        <is>
          <t>LOSS</t>
        </is>
      </c>
      <c r="O32" s="4">
        <f>HYPERLINK("file:///C:/DATA/CODE/Stocks/BackTest/Plots/intraday_trades/Intraday_Trade_0030_EICHERMOT.NS_LOSS.png", "View Intraday Plot Chart")</f>
        <v/>
      </c>
    </row>
    <row r="33">
      <c r="A33" s="3" t="n">
        <v>32</v>
      </c>
      <c r="B33" s="3" t="n">
        <v>31</v>
      </c>
      <c r="C33" s="3" t="inlineStr">
        <is>
          <t>INTRADAY TRADE</t>
        </is>
      </c>
      <c r="D33" s="3" t="inlineStr">
        <is>
          <t>2026-06-24 11:15</t>
        </is>
      </c>
      <c r="E33" s="3" t="inlineStr">
        <is>
          <t>EICHERMOT.NS</t>
        </is>
      </c>
      <c r="F33" s="3" t="inlineStr">
        <is>
          <t>pivot_support</t>
        </is>
      </c>
      <c r="G33" s="3" t="inlineStr">
        <is>
          <t>SHORT</t>
        </is>
      </c>
      <c r="H33" s="3" t="n">
        <v>7558</v>
      </c>
      <c r="I33" s="3" t="n">
        <v>7591.5</v>
      </c>
      <c r="J33" s="3" t="n">
        <v>2500</v>
      </c>
      <c r="K33" s="3" t="n">
        <v>-13.825</v>
      </c>
      <c r="L33" s="3" t="n">
        <v>-0.553</v>
      </c>
      <c r="M33" s="3" t="n">
        <v>1178.024400158866</v>
      </c>
      <c r="N33" s="3" t="inlineStr">
        <is>
          <t>LOSS</t>
        </is>
      </c>
      <c r="O33" s="4">
        <f>HYPERLINK("file:///C:/DATA/CODE/Stocks/BackTest/Plots/intraday_trades/Intraday_Trade_0031_EICHERMOT.NS_LOSS.png", "View Intraday Plot Chart")</f>
        <v/>
      </c>
    </row>
    <row r="34">
      <c r="A34" s="3" t="n">
        <v>33</v>
      </c>
      <c r="B34" s="3" t="n">
        <v>32</v>
      </c>
      <c r="C34" s="3" t="inlineStr">
        <is>
          <t>INTRADAY TRADE</t>
        </is>
      </c>
      <c r="D34" s="3" t="inlineStr">
        <is>
          <t>2026-06-24 11:15</t>
        </is>
      </c>
      <c r="E34" s="3" t="inlineStr">
        <is>
          <t>EICHERMOT.NS</t>
        </is>
      </c>
      <c r="F34" s="3" t="inlineStr">
        <is>
          <t>pivot_support</t>
        </is>
      </c>
      <c r="G34" s="3" t="inlineStr">
        <is>
          <t>SHORT</t>
        </is>
      </c>
      <c r="H34" s="3" t="n">
        <v>7558</v>
      </c>
      <c r="I34" s="3" t="n">
        <v>7591.5</v>
      </c>
      <c r="J34" s="3" t="n">
        <v>2500</v>
      </c>
      <c r="K34" s="3" t="n">
        <v>-13.825</v>
      </c>
      <c r="L34" s="3" t="n">
        <v>-0.553</v>
      </c>
      <c r="M34" s="3" t="n">
        <v>1164.199400158866</v>
      </c>
      <c r="N34" s="3" t="inlineStr">
        <is>
          <t>LOSS</t>
        </is>
      </c>
      <c r="O34" s="4">
        <f>HYPERLINK("file:///C:/DATA/CODE/Stocks/BackTest/Plots/intraday_trades/Intraday_Trade_0032_EICHERMOT.NS_LOSS.png", "View Intraday Plot Chart")</f>
        <v/>
      </c>
    </row>
    <row r="35">
      <c r="A35" s="3" t="n">
        <v>34</v>
      </c>
      <c r="B35" s="3" t="n">
        <v>33</v>
      </c>
      <c r="C35" s="3" t="inlineStr">
        <is>
          <t>INTRADAY TRADE</t>
        </is>
      </c>
      <c r="D35" s="3" t="inlineStr">
        <is>
          <t>2026-06-25 14:30</t>
        </is>
      </c>
      <c r="E35" s="3" t="inlineStr">
        <is>
          <t>GAIL.NS</t>
        </is>
      </c>
      <c r="F35" s="3" t="inlineStr">
        <is>
          <t>pivot_support</t>
        </is>
      </c>
      <c r="G35" s="3" t="inlineStr">
        <is>
          <t>LONG</t>
        </is>
      </c>
      <c r="H35" s="3" t="n">
        <v>174.16</v>
      </c>
      <c r="I35" s="3" t="n">
        <v>173.28</v>
      </c>
      <c r="J35" s="3" t="n">
        <v>2500</v>
      </c>
      <c r="K35" s="3" t="n">
        <v>-15.375</v>
      </c>
      <c r="L35" s="3" t="n">
        <v>-0.615</v>
      </c>
      <c r="M35" s="3" t="n">
        <v>1148.824400158866</v>
      </c>
      <c r="N35" s="3" t="inlineStr">
        <is>
          <t>LOSS</t>
        </is>
      </c>
      <c r="O35" s="4">
        <f>HYPERLINK("file:///C:/DATA/CODE/Stocks/BackTest/Plots/intraday_trades/Intraday_Trade_0033_GAIL.NS_LOSS.png", "View Intraday Plot Chart")</f>
        <v/>
      </c>
    </row>
    <row r="36">
      <c r="A36" s="3" t="n">
        <v>35</v>
      </c>
      <c r="B36" s="3" t="n">
        <v>34</v>
      </c>
      <c r="C36" s="3" t="inlineStr">
        <is>
          <t>INTRADAY TRADE</t>
        </is>
      </c>
      <c r="D36" s="3" t="inlineStr">
        <is>
          <t>2026-06-25 14:30</t>
        </is>
      </c>
      <c r="E36" s="3" t="inlineStr">
        <is>
          <t>GAIL.NS</t>
        </is>
      </c>
      <c r="F36" s="3" t="inlineStr">
        <is>
          <t>pivot_support</t>
        </is>
      </c>
      <c r="G36" s="3" t="inlineStr">
        <is>
          <t>LONG</t>
        </is>
      </c>
      <c r="H36" s="3" t="n">
        <v>174.16</v>
      </c>
      <c r="I36" s="3" t="n">
        <v>173.28</v>
      </c>
      <c r="J36" s="3" t="n">
        <v>2500</v>
      </c>
      <c r="K36" s="3" t="n">
        <v>-15.375</v>
      </c>
      <c r="L36" s="3" t="n">
        <v>-0.615</v>
      </c>
      <c r="M36" s="3" t="n">
        <v>1133.449400158866</v>
      </c>
      <c r="N36" s="3" t="inlineStr">
        <is>
          <t>LOSS</t>
        </is>
      </c>
      <c r="O36" s="4">
        <f>HYPERLINK("file:///C:/DATA/CODE/Stocks/BackTest/Plots/intraday_trades/Intraday_Trade_0034_GAIL.NS_LOSS.png", "View Intraday Plot Chart")</f>
        <v/>
      </c>
    </row>
    <row r="37">
      <c r="A37" s="3" t="n">
        <v>36</v>
      </c>
      <c r="B37" s="3" t="n">
        <v>35</v>
      </c>
      <c r="C37" s="3" t="inlineStr">
        <is>
          <t>INTRADAY TRADE</t>
        </is>
      </c>
      <c r="D37" s="3" t="inlineStr">
        <is>
          <t>2026-06-19 11:00</t>
        </is>
      </c>
      <c r="E37" s="3" t="inlineStr">
        <is>
          <t>HCLTECH.NS</t>
        </is>
      </c>
      <c r="F37" s="3" t="inlineStr">
        <is>
          <t>pivot_support</t>
        </is>
      </c>
      <c r="G37" s="3" t="inlineStr">
        <is>
          <t>SHORT</t>
        </is>
      </c>
      <c r="H37" s="3" t="n">
        <v>1112</v>
      </c>
      <c r="I37" s="3" t="n">
        <v>1118</v>
      </c>
      <c r="J37" s="3" t="n">
        <v>2500</v>
      </c>
      <c r="K37" s="3" t="n">
        <v>-16.25</v>
      </c>
      <c r="L37" s="3" t="n">
        <v>-0.65</v>
      </c>
      <c r="M37" s="3" t="n">
        <v>1117.199400158866</v>
      </c>
      <c r="N37" s="3" t="inlineStr">
        <is>
          <t>LOSS</t>
        </is>
      </c>
      <c r="O37" s="4">
        <f>HYPERLINK("file:///C:/DATA/CODE/Stocks/BackTest/Plots/intraday_trades/Intraday_Trade_0035_HCLTECH.NS_LOSS.png", "View Intraday Plot Chart")</f>
        <v/>
      </c>
    </row>
    <row r="38">
      <c r="A38" s="3" t="n">
        <v>37</v>
      </c>
      <c r="B38" s="3" t="n">
        <v>36</v>
      </c>
      <c r="C38" s="3" t="inlineStr">
        <is>
          <t>INTRADAY TRADE</t>
        </is>
      </c>
      <c r="D38" s="3" t="inlineStr">
        <is>
          <t>2026-06-19 11:45</t>
        </is>
      </c>
      <c r="E38" s="3" t="inlineStr">
        <is>
          <t>HCLTECH.NS</t>
        </is>
      </c>
      <c r="F38" s="3" t="inlineStr">
        <is>
          <t>pivot_support</t>
        </is>
      </c>
      <c r="G38" s="3" t="inlineStr">
        <is>
          <t>SHORT</t>
        </is>
      </c>
      <c r="H38" s="3" t="n">
        <v>1115</v>
      </c>
      <c r="I38" s="3" t="n">
        <v>1120.8</v>
      </c>
      <c r="J38" s="3" t="n">
        <v>2500</v>
      </c>
      <c r="K38" s="3" t="n">
        <v>-15.75</v>
      </c>
      <c r="L38" s="3" t="n">
        <v>-0.63</v>
      </c>
      <c r="M38" s="3" t="n">
        <v>1101.449400158866</v>
      </c>
      <c r="N38" s="3" t="inlineStr">
        <is>
          <t>LOSS</t>
        </is>
      </c>
      <c r="O38" s="4">
        <f>HYPERLINK("file:///C:/DATA/CODE/Stocks/BackTest/Plots/intraday_trades/Intraday_Trade_0036_HCLTECH.NS_LOSS.png", "View Intraday Plot Chart")</f>
        <v/>
      </c>
    </row>
    <row r="39">
      <c r="A39" s="2" t="n">
        <v>38</v>
      </c>
      <c r="B39" s="2" t="n">
        <v>37</v>
      </c>
      <c r="C39" s="2" t="inlineStr">
        <is>
          <t>INTRADAY TRADE</t>
        </is>
      </c>
      <c r="D39" s="2" t="inlineStr">
        <is>
          <t>2026-06-30 10:00</t>
        </is>
      </c>
      <c r="E39" s="2" t="inlineStr">
        <is>
          <t>HDFCBANK.NS</t>
        </is>
      </c>
      <c r="F39" s="2" t="inlineStr">
        <is>
          <t>pivot_resistance+prev_day_high</t>
        </is>
      </c>
      <c r="G39" s="2" t="inlineStr">
        <is>
          <t>LONG</t>
        </is>
      </c>
      <c r="H39" s="2" t="n">
        <v>795.65</v>
      </c>
      <c r="I39" s="2" t="n">
        <v>800.45</v>
      </c>
      <c r="J39" s="2" t="n">
        <v>2500</v>
      </c>
      <c r="K39" s="2" t="n">
        <v>12.325</v>
      </c>
      <c r="L39" s="2" t="n">
        <v>0.493</v>
      </c>
      <c r="M39" s="2" t="n">
        <v>1113.774400158866</v>
      </c>
      <c r="N39" s="2" t="inlineStr">
        <is>
          <t>PROFIT</t>
        </is>
      </c>
      <c r="O39" s="5">
        <f>HYPERLINK("file:///C:/DATA/CODE/Stocks/BackTest/Plots/intraday_trades/Intraday_Trade_0037_HDFCBANK.NS_PROFIT.png", "View Intraday Plot Chart")</f>
        <v/>
      </c>
    </row>
    <row r="40">
      <c r="A40" s="2" t="n">
        <v>39</v>
      </c>
      <c r="B40" s="2" t="n">
        <v>38</v>
      </c>
      <c r="C40" s="2" t="inlineStr">
        <is>
          <t>INTRADAY TRADE</t>
        </is>
      </c>
      <c r="D40" s="2" t="inlineStr">
        <is>
          <t>2026-06-30 10:00</t>
        </is>
      </c>
      <c r="E40" s="2" t="inlineStr">
        <is>
          <t>HDFCBANK.NS</t>
        </is>
      </c>
      <c r="F40" s="2" t="inlineStr">
        <is>
          <t>pivot_support</t>
        </is>
      </c>
      <c r="G40" s="2" t="inlineStr">
        <is>
          <t>LONG</t>
        </is>
      </c>
      <c r="H40" s="2" t="n">
        <v>795.65</v>
      </c>
      <c r="I40" s="2" t="n">
        <v>800.45</v>
      </c>
      <c r="J40" s="2" t="n">
        <v>2500</v>
      </c>
      <c r="K40" s="2" t="n">
        <v>12.325</v>
      </c>
      <c r="L40" s="2" t="n">
        <v>0.493</v>
      </c>
      <c r="M40" s="2" t="n">
        <v>1126.099400158866</v>
      </c>
      <c r="N40" s="2" t="inlineStr">
        <is>
          <t>PROFIT</t>
        </is>
      </c>
      <c r="O40" s="5">
        <f>HYPERLINK("file:///C:/DATA/CODE/Stocks/BackTest/Plots/intraday_trades/Intraday_Trade_0038_HDFCBANK.NS_PROFIT.png", "View Intraday Plot Chart")</f>
        <v/>
      </c>
    </row>
    <row r="41">
      <c r="A41" s="3" t="n">
        <v>40</v>
      </c>
      <c r="B41" s="3" t="n">
        <v>39</v>
      </c>
      <c r="C41" s="3" t="inlineStr">
        <is>
          <t>INTRADAY TRADE</t>
        </is>
      </c>
      <c r="D41" s="3" t="inlineStr">
        <is>
          <t>2026-07-02 13:00</t>
        </is>
      </c>
      <c r="E41" s="3" t="inlineStr">
        <is>
          <t>HEXT.NS</t>
        </is>
      </c>
      <c r="F41" s="3" t="inlineStr">
        <is>
          <t>pivot_resistance+prev_day_high</t>
        </is>
      </c>
      <c r="G41" s="3" t="inlineStr">
        <is>
          <t>SHORT</t>
        </is>
      </c>
      <c r="H41" s="3" t="n">
        <v>556</v>
      </c>
      <c r="I41" s="3" t="n">
        <v>555.6</v>
      </c>
      <c r="J41" s="3" t="n">
        <v>2500</v>
      </c>
      <c r="K41" s="3" t="n">
        <v>-0.95</v>
      </c>
      <c r="L41" s="3" t="n">
        <v>-0.038</v>
      </c>
      <c r="M41" s="3" t="n">
        <v>1125.149400158866</v>
      </c>
      <c r="N41" s="3" t="inlineStr">
        <is>
          <t>LOSS</t>
        </is>
      </c>
      <c r="O41" s="4">
        <f>HYPERLINK("file:///C:/DATA/CODE/Stocks/BackTest/Plots/intraday_trades/Intraday_Trade_0039_HEXT.NS_LOSS.png", "View Intraday Plot Chart")</f>
        <v/>
      </c>
    </row>
    <row r="42">
      <c r="A42" s="3" t="n">
        <v>41</v>
      </c>
      <c r="B42" s="3" t="n">
        <v>40</v>
      </c>
      <c r="C42" s="3" t="inlineStr">
        <is>
          <t>INTRADAY TRADE</t>
        </is>
      </c>
      <c r="D42" s="3" t="inlineStr">
        <is>
          <t>2026-07-01 10:30</t>
        </is>
      </c>
      <c r="E42" s="3" t="inlineStr">
        <is>
          <t>HINDUNILVR.NS</t>
        </is>
      </c>
      <c r="F42" s="3" t="inlineStr">
        <is>
          <t>prev_day_high</t>
        </is>
      </c>
      <c r="G42" s="3" t="inlineStr">
        <is>
          <t>SHORT</t>
        </is>
      </c>
      <c r="H42" s="3" t="n">
        <v>2162.9</v>
      </c>
      <c r="I42" s="3" t="n">
        <v>2179.6</v>
      </c>
      <c r="J42" s="3" t="n">
        <v>2500</v>
      </c>
      <c r="K42" s="3" t="n">
        <v>-22.05</v>
      </c>
      <c r="L42" s="3" t="n">
        <v>-0.882</v>
      </c>
      <c r="M42" s="3" t="n">
        <v>1103.099400158866</v>
      </c>
      <c r="N42" s="3" t="inlineStr">
        <is>
          <t>LOSS</t>
        </is>
      </c>
      <c r="O42" s="4">
        <f>HYPERLINK("file:///C:/DATA/CODE/Stocks/BackTest/Plots/intraday_trades/Intraday_Trade_0040_HINDUNILVR.NS_LOSS.png", "View Intraday Plot Chart")</f>
        <v/>
      </c>
    </row>
    <row r="43">
      <c r="A43" s="3" t="n">
        <v>42</v>
      </c>
      <c r="B43" s="3" t="n">
        <v>41</v>
      </c>
      <c r="C43" s="3" t="inlineStr">
        <is>
          <t>INTRADAY TRADE</t>
        </is>
      </c>
      <c r="D43" s="3" t="inlineStr">
        <is>
          <t>2026-07-01 10:30</t>
        </is>
      </c>
      <c r="E43" s="3" t="inlineStr">
        <is>
          <t>HINDUNILVR.NS</t>
        </is>
      </c>
      <c r="F43" s="3" t="inlineStr">
        <is>
          <t>pivot_resistance</t>
        </is>
      </c>
      <c r="G43" s="3" t="inlineStr">
        <is>
          <t>SHORT</t>
        </is>
      </c>
      <c r="H43" s="3" t="n">
        <v>2162.9</v>
      </c>
      <c r="I43" s="3" t="n">
        <v>2179.6</v>
      </c>
      <c r="J43" s="3" t="n">
        <v>2500</v>
      </c>
      <c r="K43" s="3" t="n">
        <v>-22.05</v>
      </c>
      <c r="L43" s="3" t="n">
        <v>-0.882</v>
      </c>
      <c r="M43" s="3" t="n">
        <v>1081.049400158866</v>
      </c>
      <c r="N43" s="3" t="inlineStr">
        <is>
          <t>LOSS</t>
        </is>
      </c>
      <c r="O43" s="4">
        <f>HYPERLINK("file:///C:/DATA/CODE/Stocks/BackTest/Plots/intraday_trades/Intraday_Trade_0041_HINDUNILVR.NS_LOSS.png", "View Intraday Plot Chart")</f>
        <v/>
      </c>
    </row>
    <row r="44">
      <c r="A44" s="3" t="n">
        <v>43</v>
      </c>
      <c r="B44" s="3" t="n">
        <v>42</v>
      </c>
      <c r="C44" s="3" t="inlineStr">
        <is>
          <t>INTRADAY TRADE</t>
        </is>
      </c>
      <c r="D44" s="3" t="inlineStr">
        <is>
          <t>2026-06-24 15:15</t>
        </is>
      </c>
      <c r="E44" s="3" t="inlineStr">
        <is>
          <t>HONASA.NS</t>
        </is>
      </c>
      <c r="F44" s="3" t="inlineStr">
        <is>
          <t>pivot_support+prev_day_low</t>
        </is>
      </c>
      <c r="G44" s="3" t="inlineStr">
        <is>
          <t>SHORT</t>
        </is>
      </c>
      <c r="H44" s="3" t="n">
        <v>414.35</v>
      </c>
      <c r="I44" s="3" t="n">
        <v>414.95</v>
      </c>
      <c r="J44" s="3" t="n">
        <v>2500</v>
      </c>
      <c r="K44" s="3" t="n">
        <v>-6.350000000000001</v>
      </c>
      <c r="L44" s="3" t="n">
        <v>-0.254</v>
      </c>
      <c r="M44" s="3" t="n">
        <v>1074.699400158866</v>
      </c>
      <c r="N44" s="3" t="inlineStr">
        <is>
          <t>LOSS</t>
        </is>
      </c>
      <c r="O44" s="4">
        <f>HYPERLINK("file:///C:/DATA/CODE/Stocks/BackTest/Plots/intraday_trades/Intraday_Trade_0042_HONASA.NS_LOSS.png", "View Intraday Plot Chart")</f>
        <v/>
      </c>
    </row>
    <row r="45">
      <c r="A45" s="2" t="n">
        <v>44</v>
      </c>
      <c r="B45" s="2" t="n">
        <v>43</v>
      </c>
      <c r="C45" s="2" t="inlineStr">
        <is>
          <t>INTRADAY TRADE</t>
        </is>
      </c>
      <c r="D45" s="2" t="inlineStr">
        <is>
          <t>2026-06-24 12:15</t>
        </is>
      </c>
      <c r="E45" s="2" t="inlineStr">
        <is>
          <t>HONASA.NS</t>
        </is>
      </c>
      <c r="F45" s="2" t="inlineStr">
        <is>
          <t>pivot_support</t>
        </is>
      </c>
      <c r="G45" s="2" t="inlineStr">
        <is>
          <t>LONG</t>
        </is>
      </c>
      <c r="H45" s="2" t="n">
        <v>403.9</v>
      </c>
      <c r="I45" s="2" t="n">
        <v>414.95</v>
      </c>
      <c r="J45" s="2" t="n">
        <v>2500</v>
      </c>
      <c r="K45" s="2" t="n">
        <v>65.59999999999999</v>
      </c>
      <c r="L45" s="2" t="n">
        <v>2.624</v>
      </c>
      <c r="M45" s="2" t="n">
        <v>1140.299400158866</v>
      </c>
      <c r="N45" s="2" t="inlineStr">
        <is>
          <t>PROFIT</t>
        </is>
      </c>
      <c r="O45" s="5">
        <f>HYPERLINK("file:///C:/DATA/CODE/Stocks/BackTest/Plots/intraday_trades/Intraday_Trade_0043_HONASA.NS_PROFIT.png", "View Intraday Plot Chart")</f>
        <v/>
      </c>
    </row>
    <row r="46">
      <c r="A46" s="2" t="n">
        <v>45</v>
      </c>
      <c r="B46" s="2" t="n">
        <v>44</v>
      </c>
      <c r="C46" s="2" t="inlineStr">
        <is>
          <t>INTRADAY TRADE</t>
        </is>
      </c>
      <c r="D46" s="2" t="inlineStr">
        <is>
          <t>2026-06-24 12:15</t>
        </is>
      </c>
      <c r="E46" s="2" t="inlineStr">
        <is>
          <t>HONASA.NS</t>
        </is>
      </c>
      <c r="F46" s="2" t="inlineStr">
        <is>
          <t>pivot_support</t>
        </is>
      </c>
      <c r="G46" s="2" t="inlineStr">
        <is>
          <t>LONG</t>
        </is>
      </c>
      <c r="H46" s="2" t="n">
        <v>403.9</v>
      </c>
      <c r="I46" s="2" t="n">
        <v>414.95</v>
      </c>
      <c r="J46" s="2" t="n">
        <v>2500</v>
      </c>
      <c r="K46" s="2" t="n">
        <v>65.59999999999999</v>
      </c>
      <c r="L46" s="2" t="n">
        <v>2.624</v>
      </c>
      <c r="M46" s="2" t="n">
        <v>1205.899400158866</v>
      </c>
      <c r="N46" s="2" t="inlineStr">
        <is>
          <t>PROFIT</t>
        </is>
      </c>
      <c r="O46" s="5">
        <f>HYPERLINK("file:///C:/DATA/CODE/Stocks/BackTest/Plots/intraday_trades/Intraday_Trade_0044_HONASA.NS_PROFIT.png", "View Intraday Plot Chart")</f>
        <v/>
      </c>
    </row>
    <row r="47">
      <c r="A47" s="3" t="n">
        <v>46</v>
      </c>
      <c r="B47" s="3" t="n">
        <v>45</v>
      </c>
      <c r="C47" s="3" t="inlineStr">
        <is>
          <t>INTRADAY TRADE</t>
        </is>
      </c>
      <c r="D47" s="3" t="inlineStr">
        <is>
          <t>2026-06-24 15:15</t>
        </is>
      </c>
      <c r="E47" s="3" t="inlineStr">
        <is>
          <t>HONASA.NS</t>
        </is>
      </c>
      <c r="F47" s="3" t="inlineStr">
        <is>
          <t>pivot_support</t>
        </is>
      </c>
      <c r="G47" s="3" t="inlineStr">
        <is>
          <t>SHORT</t>
        </is>
      </c>
      <c r="H47" s="3" t="n">
        <v>414.35</v>
      </c>
      <c r="I47" s="3" t="n">
        <v>414.95</v>
      </c>
      <c r="J47" s="3" t="n">
        <v>2500</v>
      </c>
      <c r="K47" s="3" t="n">
        <v>-6.350000000000001</v>
      </c>
      <c r="L47" s="3" t="n">
        <v>-0.254</v>
      </c>
      <c r="M47" s="3" t="n">
        <v>1199.549400158866</v>
      </c>
      <c r="N47" s="3" t="inlineStr">
        <is>
          <t>LOSS</t>
        </is>
      </c>
      <c r="O47" s="4">
        <f>HYPERLINK("file:///C:/DATA/CODE/Stocks/BackTest/Plots/intraday_trades/Intraday_Trade_0045_HONASA.NS_LOSS.png", "View Intraday Plot Chart")</f>
        <v/>
      </c>
    </row>
    <row r="48">
      <c r="A48" s="2" t="n">
        <v>47</v>
      </c>
      <c r="B48" s="2" t="n">
        <v>46</v>
      </c>
      <c r="C48" s="2" t="inlineStr">
        <is>
          <t>INTRADAY TRADE</t>
        </is>
      </c>
      <c r="D48" s="2" t="inlineStr">
        <is>
          <t>2026-06-30 12:00</t>
        </is>
      </c>
      <c r="E48" s="2" t="inlineStr">
        <is>
          <t>ICICIBANK.NS</t>
        </is>
      </c>
      <c r="F48" s="2" t="inlineStr">
        <is>
          <t>pivot_support+prev_day_low</t>
        </is>
      </c>
      <c r="G48" s="2" t="inlineStr">
        <is>
          <t>SHORT</t>
        </is>
      </c>
      <c r="H48" s="2" t="n">
        <v>1378.2</v>
      </c>
      <c r="I48" s="2" t="n">
        <v>1375.2</v>
      </c>
      <c r="J48" s="2" t="n">
        <v>2500</v>
      </c>
      <c r="K48" s="2" t="n">
        <v>2.7</v>
      </c>
      <c r="L48" s="2" t="n">
        <v>0.108</v>
      </c>
      <c r="M48" s="2" t="n">
        <v>1202.249400158866</v>
      </c>
      <c r="N48" s="2" t="inlineStr">
        <is>
          <t>PROFIT</t>
        </is>
      </c>
      <c r="O48" s="5">
        <f>HYPERLINK("file:///C:/DATA/CODE/Stocks/BackTest/Plots/intraday_trades/Intraday_Trade_0046_ICICIBANK.NS_PROFIT.png", "View Intraday Plot Chart")</f>
        <v/>
      </c>
    </row>
    <row r="49">
      <c r="A49" s="2" t="n">
        <v>48</v>
      </c>
      <c r="B49" s="2" t="n">
        <v>47</v>
      </c>
      <c r="C49" s="2" t="inlineStr">
        <is>
          <t>INTRADAY TRADE</t>
        </is>
      </c>
      <c r="D49" s="2" t="inlineStr">
        <is>
          <t>2026-06-30 12:00</t>
        </is>
      </c>
      <c r="E49" s="2" t="inlineStr">
        <is>
          <t>ICICIBANK.NS</t>
        </is>
      </c>
      <c r="F49" s="2" t="inlineStr">
        <is>
          <t>pivot_support</t>
        </is>
      </c>
      <c r="G49" s="2" t="inlineStr">
        <is>
          <t>SHORT</t>
        </is>
      </c>
      <c r="H49" s="2" t="n">
        <v>1378.2</v>
      </c>
      <c r="I49" s="2" t="n">
        <v>1375.2</v>
      </c>
      <c r="J49" s="2" t="n">
        <v>2500</v>
      </c>
      <c r="K49" s="2" t="n">
        <v>2.7</v>
      </c>
      <c r="L49" s="2" t="n">
        <v>0.108</v>
      </c>
      <c r="M49" s="2" t="n">
        <v>1204.949400158866</v>
      </c>
      <c r="N49" s="2" t="inlineStr">
        <is>
          <t>PROFIT</t>
        </is>
      </c>
      <c r="O49" s="5">
        <f>HYPERLINK("file:///C:/DATA/CODE/Stocks/BackTest/Plots/intraday_trades/Intraday_Trade_0047_ICICIBANK.NS_PROFIT.png", "View Intraday Plot Chart")</f>
        <v/>
      </c>
    </row>
    <row r="50">
      <c r="A50" s="2" t="n">
        <v>49</v>
      </c>
      <c r="B50" s="2" t="n">
        <v>48</v>
      </c>
      <c r="C50" s="2" t="inlineStr">
        <is>
          <t>INTRADAY TRADE</t>
        </is>
      </c>
      <c r="D50" s="2" t="inlineStr">
        <is>
          <t>2026-06-24 12:30</t>
        </is>
      </c>
      <c r="E50" s="2" t="inlineStr">
        <is>
          <t>IDEA.NS</t>
        </is>
      </c>
      <c r="F50" s="2" t="inlineStr">
        <is>
          <t>prev_day_low</t>
        </is>
      </c>
      <c r="G50" s="2" t="inlineStr">
        <is>
          <t>SHORT</t>
        </is>
      </c>
      <c r="H50" s="2" t="n">
        <v>14.46</v>
      </c>
      <c r="I50" s="2" t="n">
        <v>14.31</v>
      </c>
      <c r="J50" s="2" t="n">
        <v>2500</v>
      </c>
      <c r="K50" s="2" t="n">
        <v>23.2</v>
      </c>
      <c r="L50" s="2" t="n">
        <v>0.928</v>
      </c>
      <c r="M50" s="2" t="n">
        <v>1228.149400158866</v>
      </c>
      <c r="N50" s="2" t="inlineStr">
        <is>
          <t>PROFIT</t>
        </is>
      </c>
      <c r="O50" s="5">
        <f>HYPERLINK("file:///C:/DATA/CODE/Stocks/BackTest/Plots/intraday_trades/Intraday_Trade_0048_IDEA.NS_PROFIT.png", "View Intraday Plot Chart")</f>
        <v/>
      </c>
    </row>
    <row r="51">
      <c r="A51" s="3" t="n">
        <v>50</v>
      </c>
      <c r="B51" s="3" t="n">
        <v>49</v>
      </c>
      <c r="C51" s="3" t="inlineStr">
        <is>
          <t>INTRADAY TRADE</t>
        </is>
      </c>
      <c r="D51" s="3" t="inlineStr">
        <is>
          <t>2026-06-17 09:45</t>
        </is>
      </c>
      <c r="E51" s="3" t="inlineStr">
        <is>
          <t>INFY.NS</t>
        </is>
      </c>
      <c r="F51" s="3" t="inlineStr">
        <is>
          <t>pivot_resistance+prev_day_high</t>
        </is>
      </c>
      <c r="G51" s="3" t="inlineStr">
        <is>
          <t>SHORT</t>
        </is>
      </c>
      <c r="H51" s="3" t="n">
        <v>1156.7</v>
      </c>
      <c r="I51" s="3" t="n">
        <v>1156.4</v>
      </c>
      <c r="J51" s="3" t="n">
        <v>2500</v>
      </c>
      <c r="K51" s="3" t="n">
        <v>-2.1</v>
      </c>
      <c r="L51" s="3" t="n">
        <v>-0.08400000000000001</v>
      </c>
      <c r="M51" s="3" t="n">
        <v>1226.049400158866</v>
      </c>
      <c r="N51" s="3" t="inlineStr">
        <is>
          <t>LOSS</t>
        </is>
      </c>
      <c r="O51" s="4">
        <f>HYPERLINK("file:///C:/DATA/CODE/Stocks/BackTest/Plots/intraday_trades/Intraday_Trade_0049_INFY.NS_LOSS.png", "View Intraday Plot Chart")</f>
        <v/>
      </c>
    </row>
    <row r="52">
      <c r="A52" s="2" t="n">
        <v>51</v>
      </c>
      <c r="B52" s="2" t="n">
        <v>50</v>
      </c>
      <c r="C52" s="2" t="inlineStr">
        <is>
          <t>INTRADAY TRADE</t>
        </is>
      </c>
      <c r="D52" s="2" t="inlineStr">
        <is>
          <t>2026-06-24 14:30</t>
        </is>
      </c>
      <c r="E52" s="2" t="inlineStr">
        <is>
          <t>INFY.NS</t>
        </is>
      </c>
      <c r="F52" s="2" t="inlineStr">
        <is>
          <t>prev_day_high</t>
        </is>
      </c>
      <c r="G52" s="2" t="inlineStr">
        <is>
          <t>SHORT</t>
        </is>
      </c>
      <c r="H52" s="2" t="n">
        <v>1060.8</v>
      </c>
      <c r="I52" s="2" t="n">
        <v>1056</v>
      </c>
      <c r="J52" s="2" t="n">
        <v>2500</v>
      </c>
      <c r="K52" s="2" t="n">
        <v>8.575000000000001</v>
      </c>
      <c r="L52" s="2" t="n">
        <v>0.343</v>
      </c>
      <c r="M52" s="2" t="n">
        <v>1234.624400158866</v>
      </c>
      <c r="N52" s="2" t="inlineStr">
        <is>
          <t>PROFIT</t>
        </is>
      </c>
      <c r="O52" s="5">
        <f>HYPERLINK("file:///C:/DATA/CODE/Stocks/BackTest/Plots/intraday_trades/Intraday_Trade_0050_INFY.NS_PROFIT.png", "View Intraday Plot Chart")</f>
        <v/>
      </c>
    </row>
    <row r="53">
      <c r="A53" s="3" t="n">
        <v>52</v>
      </c>
      <c r="B53" s="3" t="n">
        <v>51</v>
      </c>
      <c r="C53" s="3" t="inlineStr">
        <is>
          <t>INTRADAY TRADE</t>
        </is>
      </c>
      <c r="D53" s="3" t="inlineStr">
        <is>
          <t>2026-07-01 10:30</t>
        </is>
      </c>
      <c r="E53" s="3" t="inlineStr">
        <is>
          <t>ITC.NS</t>
        </is>
      </c>
      <c r="F53" s="3" t="inlineStr">
        <is>
          <t>pivot_resistance</t>
        </is>
      </c>
      <c r="G53" s="3" t="inlineStr">
        <is>
          <t>SHORT</t>
        </is>
      </c>
      <c r="H53" s="3" t="n">
        <v>289.25</v>
      </c>
      <c r="I53" s="3" t="n">
        <v>290</v>
      </c>
      <c r="J53" s="3" t="n">
        <v>2500</v>
      </c>
      <c r="K53" s="3" t="n">
        <v>-9.225</v>
      </c>
      <c r="L53" s="3" t="n">
        <v>-0.369</v>
      </c>
      <c r="M53" s="3" t="n">
        <v>1225.399400158866</v>
      </c>
      <c r="N53" s="3" t="inlineStr">
        <is>
          <t>LOSS</t>
        </is>
      </c>
      <c r="O53" s="4">
        <f>HYPERLINK("file:///C:/DATA/CODE/Stocks/BackTest/Plots/intraday_trades/Intraday_Trade_0051_ITC.NS_LOSS.png", "View Intraday Plot Chart")</f>
        <v/>
      </c>
    </row>
    <row r="54">
      <c r="A54" s="3" t="n">
        <v>53</v>
      </c>
      <c r="B54" s="3" t="n">
        <v>52</v>
      </c>
      <c r="C54" s="3" t="inlineStr">
        <is>
          <t>INTRADAY TRADE</t>
        </is>
      </c>
      <c r="D54" s="3" t="inlineStr">
        <is>
          <t>2026-06-15 09:45</t>
        </is>
      </c>
      <c r="E54" s="3" t="inlineStr">
        <is>
          <t>JSWENERGY.NS</t>
        </is>
      </c>
      <c r="F54" s="3" t="inlineStr">
        <is>
          <t>pivot_resistance</t>
        </is>
      </c>
      <c r="G54" s="3" t="inlineStr">
        <is>
          <t>LONG</t>
        </is>
      </c>
      <c r="H54" s="3" t="n">
        <v>568.25</v>
      </c>
      <c r="I54" s="3" t="n">
        <v>564.25</v>
      </c>
      <c r="J54" s="3" t="n">
        <v>2500</v>
      </c>
      <c r="K54" s="3" t="n">
        <v>-20.325</v>
      </c>
      <c r="L54" s="3" t="n">
        <v>-0.8129999999999999</v>
      </c>
      <c r="M54" s="3" t="n">
        <v>1205.074400158866</v>
      </c>
      <c r="N54" s="3" t="inlineStr">
        <is>
          <t>LOSS</t>
        </is>
      </c>
      <c r="O54" s="4">
        <f>HYPERLINK("file:///C:/DATA/CODE/Stocks/BackTest/Plots/intraday_trades/Intraday_Trade_0052_JSWENERGY.NS_LOSS.png", "View Intraday Plot Chart")</f>
        <v/>
      </c>
    </row>
    <row r="55">
      <c r="A55" s="2" t="n">
        <v>54</v>
      </c>
      <c r="B55" s="2" t="n">
        <v>53</v>
      </c>
      <c r="C55" s="2" t="inlineStr">
        <is>
          <t>INTRADAY TRADE</t>
        </is>
      </c>
      <c r="D55" s="2" t="inlineStr">
        <is>
          <t>2026-06-30 10:45</t>
        </is>
      </c>
      <c r="E55" s="2" t="inlineStr">
        <is>
          <t>JSWENERGY.NS</t>
        </is>
      </c>
      <c r="F55" s="2" t="inlineStr">
        <is>
          <t>pivot_support</t>
        </is>
      </c>
      <c r="G55" s="2" t="inlineStr">
        <is>
          <t>LONG</t>
        </is>
      </c>
      <c r="H55" s="2" t="n">
        <v>577.9</v>
      </c>
      <c r="I55" s="2" t="n">
        <v>581.55</v>
      </c>
      <c r="J55" s="2" t="n">
        <v>2500</v>
      </c>
      <c r="K55" s="2" t="n">
        <v>13.05</v>
      </c>
      <c r="L55" s="2" t="n">
        <v>0.522</v>
      </c>
      <c r="M55" s="2" t="n">
        <v>1218.124400158866</v>
      </c>
      <c r="N55" s="2" t="inlineStr">
        <is>
          <t>PROFIT</t>
        </is>
      </c>
      <c r="O55" s="5">
        <f>HYPERLINK("file:///C:/DATA/CODE/Stocks/BackTest/Plots/intraday_trades/Intraday_Trade_0053_JSWENERGY.NS_PROFIT.png", "View Intraday Plot Chart")</f>
        <v/>
      </c>
    </row>
    <row r="56">
      <c r="A56" s="3" t="n">
        <v>55</v>
      </c>
      <c r="B56" s="3" t="n">
        <v>54</v>
      </c>
      <c r="C56" s="3" t="inlineStr">
        <is>
          <t>INTRADAY TRADE</t>
        </is>
      </c>
      <c r="D56" s="3" t="inlineStr">
        <is>
          <t>2026-06-29 15:00</t>
        </is>
      </c>
      <c r="E56" s="3" t="inlineStr">
        <is>
          <t>KOTAKBANK.NS</t>
        </is>
      </c>
      <c r="F56" s="3" t="inlineStr">
        <is>
          <t>pivot_support</t>
        </is>
      </c>
      <c r="G56" s="3" t="inlineStr">
        <is>
          <t>SHORT</t>
        </is>
      </c>
      <c r="H56" s="3" t="n">
        <v>396.5</v>
      </c>
      <c r="I56" s="3" t="n">
        <v>397</v>
      </c>
      <c r="J56" s="3" t="n">
        <v>2500</v>
      </c>
      <c r="K56" s="3" t="n">
        <v>-5.899999999999999</v>
      </c>
      <c r="L56" s="3" t="n">
        <v>-0.236</v>
      </c>
      <c r="M56" s="3" t="n">
        <v>1212.224400158866</v>
      </c>
      <c r="N56" s="3" t="inlineStr">
        <is>
          <t>LOSS</t>
        </is>
      </c>
      <c r="O56" s="4">
        <f>HYPERLINK("file:///C:/DATA/CODE/Stocks/BackTest/Plots/intraday_trades/Intraday_Trade_0054_KOTAKBANK.NS_LOSS.png", "View Intraday Plot Chart")</f>
        <v/>
      </c>
    </row>
    <row r="57">
      <c r="A57" s="3" t="n">
        <v>56</v>
      </c>
      <c r="B57" s="3" t="n">
        <v>55</v>
      </c>
      <c r="C57" s="3" t="inlineStr">
        <is>
          <t>INTRADAY TRADE</t>
        </is>
      </c>
      <c r="D57" s="3" t="inlineStr">
        <is>
          <t>2026-06-29 11:45</t>
        </is>
      </c>
      <c r="E57" s="3" t="inlineStr">
        <is>
          <t>KOTAKBANK.NS</t>
        </is>
      </c>
      <c r="F57" s="3" t="inlineStr">
        <is>
          <t>pivot_support</t>
        </is>
      </c>
      <c r="G57" s="3" t="inlineStr">
        <is>
          <t>LONG</t>
        </is>
      </c>
      <c r="H57" s="3" t="n">
        <v>399.45</v>
      </c>
      <c r="I57" s="3" t="n">
        <v>397.45</v>
      </c>
      <c r="J57" s="3" t="n">
        <v>2500</v>
      </c>
      <c r="K57" s="3" t="n">
        <v>-15.25</v>
      </c>
      <c r="L57" s="3" t="n">
        <v>-0.61</v>
      </c>
      <c r="M57" s="3" t="n">
        <v>1196.974400158866</v>
      </c>
      <c r="N57" s="3" t="inlineStr">
        <is>
          <t>LOSS</t>
        </is>
      </c>
      <c r="O57" s="4">
        <f>HYPERLINK("file:///C:/DATA/CODE/Stocks/BackTest/Plots/intraday_trades/Intraday_Trade_0055_KOTAKBANK.NS_LOSS.png", "View Intraday Plot Chart")</f>
        <v/>
      </c>
    </row>
    <row r="58">
      <c r="A58" s="3" t="n">
        <v>57</v>
      </c>
      <c r="B58" s="3" t="n">
        <v>56</v>
      </c>
      <c r="C58" s="3" t="inlineStr">
        <is>
          <t>INTRADAY TRADE</t>
        </is>
      </c>
      <c r="D58" s="3" t="inlineStr">
        <is>
          <t>2026-06-29 11:45</t>
        </is>
      </c>
      <c r="E58" s="3" t="inlineStr">
        <is>
          <t>KOTAKBANK.NS</t>
        </is>
      </c>
      <c r="F58" s="3" t="inlineStr">
        <is>
          <t>pivot_support</t>
        </is>
      </c>
      <c r="G58" s="3" t="inlineStr">
        <is>
          <t>LONG</t>
        </is>
      </c>
      <c r="H58" s="3" t="n">
        <v>399.45</v>
      </c>
      <c r="I58" s="3" t="n">
        <v>397.45</v>
      </c>
      <c r="J58" s="3" t="n">
        <v>2500</v>
      </c>
      <c r="K58" s="3" t="n">
        <v>-15.25</v>
      </c>
      <c r="L58" s="3" t="n">
        <v>-0.61</v>
      </c>
      <c r="M58" s="3" t="n">
        <v>1181.724400158866</v>
      </c>
      <c r="N58" s="3" t="inlineStr">
        <is>
          <t>LOSS</t>
        </is>
      </c>
      <c r="O58" s="4">
        <f>HYPERLINK("file:///C:/DATA/CODE/Stocks/BackTest/Plots/intraday_trades/Intraday_Trade_0056_KOTAKBANK.NS_LOSS.png", "View Intraday Plot Chart")</f>
        <v/>
      </c>
    </row>
    <row r="59">
      <c r="A59" s="3" t="n">
        <v>58</v>
      </c>
      <c r="B59" s="3" t="n">
        <v>57</v>
      </c>
      <c r="C59" s="3" t="inlineStr">
        <is>
          <t>INTRADAY TRADE</t>
        </is>
      </c>
      <c r="D59" s="3" t="inlineStr">
        <is>
          <t>2026-06-29 11:45</t>
        </is>
      </c>
      <c r="E59" s="3" t="inlineStr">
        <is>
          <t>KOTAKBANK.NS</t>
        </is>
      </c>
      <c r="F59" s="3" t="inlineStr">
        <is>
          <t>pivot_support</t>
        </is>
      </c>
      <c r="G59" s="3" t="inlineStr">
        <is>
          <t>LONG</t>
        </is>
      </c>
      <c r="H59" s="3" t="n">
        <v>399.45</v>
      </c>
      <c r="I59" s="3" t="n">
        <v>397.45</v>
      </c>
      <c r="J59" s="3" t="n">
        <v>2500</v>
      </c>
      <c r="K59" s="3" t="n">
        <v>-15.25</v>
      </c>
      <c r="L59" s="3" t="n">
        <v>-0.61</v>
      </c>
      <c r="M59" s="3" t="n">
        <v>1166.474400158866</v>
      </c>
      <c r="N59" s="3" t="inlineStr">
        <is>
          <t>LOSS</t>
        </is>
      </c>
      <c r="O59" s="4">
        <f>HYPERLINK("file:///C:/DATA/CODE/Stocks/BackTest/Plots/intraday_trades/Intraday_Trade_0057_KOTAKBANK.NS_LOSS.png", "View Intraday Plot Chart")</f>
        <v/>
      </c>
    </row>
    <row r="60">
      <c r="A60" s="3" t="n">
        <v>59</v>
      </c>
      <c r="B60" s="3" t="n">
        <v>58</v>
      </c>
      <c r="C60" s="3" t="inlineStr">
        <is>
          <t>INTRADAY TRADE</t>
        </is>
      </c>
      <c r="D60" s="3" t="inlineStr">
        <is>
          <t>2026-07-01 12:15</t>
        </is>
      </c>
      <c r="E60" s="3" t="inlineStr">
        <is>
          <t>KOTAKBANK.NS</t>
        </is>
      </c>
      <c r="F60" s="3" t="inlineStr">
        <is>
          <t>prev_day_high</t>
        </is>
      </c>
      <c r="G60" s="3" t="inlineStr">
        <is>
          <t>SHORT</t>
        </is>
      </c>
      <c r="H60" s="3" t="n">
        <v>396.55</v>
      </c>
      <c r="I60" s="3" t="n">
        <v>397.8</v>
      </c>
      <c r="J60" s="3" t="n">
        <v>2500</v>
      </c>
      <c r="K60" s="3" t="n">
        <v>-10.625</v>
      </c>
      <c r="L60" s="3" t="n">
        <v>-0.425</v>
      </c>
      <c r="M60" s="3" t="n">
        <v>1155.849400158866</v>
      </c>
      <c r="N60" s="3" t="inlineStr">
        <is>
          <t>LOSS</t>
        </is>
      </c>
      <c r="O60" s="4">
        <f>HYPERLINK("file:///C:/DATA/CODE/Stocks/BackTest/Plots/intraday_trades/Intraday_Trade_0058_KOTAKBANK.NS_LOSS.png", "View Intraday Plot Chart")</f>
        <v/>
      </c>
    </row>
    <row r="61">
      <c r="A61" s="3" t="n">
        <v>60</v>
      </c>
      <c r="B61" s="3" t="n">
        <v>59</v>
      </c>
      <c r="C61" s="3" t="inlineStr">
        <is>
          <t>INTRADAY TRADE</t>
        </is>
      </c>
      <c r="D61" s="3" t="inlineStr">
        <is>
          <t>2026-07-01 14:30</t>
        </is>
      </c>
      <c r="E61" s="3" t="inlineStr">
        <is>
          <t>KOTAKBANK.NS</t>
        </is>
      </c>
      <c r="F61" s="3" t="inlineStr">
        <is>
          <t>pivot_resistance</t>
        </is>
      </c>
      <c r="G61" s="3" t="inlineStr">
        <is>
          <t>SHORT</t>
        </is>
      </c>
      <c r="H61" s="3" t="n">
        <v>399.1</v>
      </c>
      <c r="I61" s="3" t="n">
        <v>400.95</v>
      </c>
      <c r="J61" s="3" t="n">
        <v>2500</v>
      </c>
      <c r="K61" s="3" t="n">
        <v>-14.325</v>
      </c>
      <c r="L61" s="3" t="n">
        <v>-0.573</v>
      </c>
      <c r="M61" s="3" t="n">
        <v>1141.524400158866</v>
      </c>
      <c r="N61" s="3" t="inlineStr">
        <is>
          <t>LOSS</t>
        </is>
      </c>
      <c r="O61" s="4">
        <f>HYPERLINK("file:///C:/DATA/CODE/Stocks/BackTest/Plots/intraday_trades/Intraday_Trade_0059_KOTAKBANK.NS_LOSS.png", "View Intraday Plot Chart")</f>
        <v/>
      </c>
    </row>
    <row r="62">
      <c r="A62" s="3" t="n">
        <v>61</v>
      </c>
      <c r="B62" s="3" t="n">
        <v>60</v>
      </c>
      <c r="C62" s="3" t="inlineStr">
        <is>
          <t>INTRADAY TRADE</t>
        </is>
      </c>
      <c r="D62" s="3" t="inlineStr">
        <is>
          <t>2026-07-01 14:00</t>
        </is>
      </c>
      <c r="E62" s="3" t="inlineStr">
        <is>
          <t>KOTAKBANK.NS</t>
        </is>
      </c>
      <c r="F62" s="3" t="inlineStr">
        <is>
          <t>pivot_resistance</t>
        </is>
      </c>
      <c r="G62" s="3" t="inlineStr">
        <is>
          <t>SHORT</t>
        </is>
      </c>
      <c r="H62" s="3" t="n">
        <v>398.65</v>
      </c>
      <c r="I62" s="3" t="n">
        <v>400.45</v>
      </c>
      <c r="J62" s="3" t="n">
        <v>2500</v>
      </c>
      <c r="K62" s="3" t="n">
        <v>-14.025</v>
      </c>
      <c r="L62" s="3" t="n">
        <v>-0.5610000000000001</v>
      </c>
      <c r="M62" s="3" t="n">
        <v>1127.499400158866</v>
      </c>
      <c r="N62" s="3" t="inlineStr">
        <is>
          <t>LOSS</t>
        </is>
      </c>
      <c r="O62" s="4">
        <f>HYPERLINK("file:///C:/DATA/CODE/Stocks/BackTest/Plots/intraday_trades/Intraday_Trade_0060_KOTAKBANK.NS_LOSS.png", "View Intraday Plot Chart")</f>
        <v/>
      </c>
    </row>
    <row r="63">
      <c r="A63" s="3" t="n">
        <v>62</v>
      </c>
      <c r="B63" s="3" t="n">
        <v>61</v>
      </c>
      <c r="C63" s="3" t="inlineStr">
        <is>
          <t>INTRADAY TRADE</t>
        </is>
      </c>
      <c r="D63" s="3" t="inlineStr">
        <is>
          <t>2026-06-15 11:45</t>
        </is>
      </c>
      <c r="E63" s="3" t="inlineStr">
        <is>
          <t>KTKBANK.NS</t>
        </is>
      </c>
      <c r="F63" s="3" t="inlineStr">
        <is>
          <t>pivot_resistance</t>
        </is>
      </c>
      <c r="G63" s="3" t="inlineStr">
        <is>
          <t>LONG</t>
        </is>
      </c>
      <c r="H63" s="3" t="n">
        <v>275.55</v>
      </c>
      <c r="I63" s="3" t="n">
        <v>273.55</v>
      </c>
      <c r="J63" s="3" t="n">
        <v>2500</v>
      </c>
      <c r="K63" s="3" t="n">
        <v>-20.875</v>
      </c>
      <c r="L63" s="3" t="n">
        <v>-0.835</v>
      </c>
      <c r="M63" s="3" t="n">
        <v>1106.624400158866</v>
      </c>
      <c r="N63" s="3" t="inlineStr">
        <is>
          <t>LOSS</t>
        </is>
      </c>
      <c r="O63" s="4">
        <f>HYPERLINK("file:///C:/DATA/CODE/Stocks/BackTest/Plots/intraday_trades/Intraday_Trade_0061_KTKBANK.NS_LOSS.png", "View Intraday Plot Chart")</f>
        <v/>
      </c>
    </row>
    <row r="64">
      <c r="A64" s="3" t="n">
        <v>63</v>
      </c>
      <c r="B64" s="3" t="n">
        <v>62</v>
      </c>
      <c r="C64" s="3" t="inlineStr">
        <is>
          <t>INTRADAY TRADE</t>
        </is>
      </c>
      <c r="D64" s="3" t="inlineStr">
        <is>
          <t>2026-06-15 11:45</t>
        </is>
      </c>
      <c r="E64" s="3" t="inlineStr">
        <is>
          <t>KTKBANK.NS</t>
        </is>
      </c>
      <c r="F64" s="3" t="inlineStr">
        <is>
          <t>pivot_resistance</t>
        </is>
      </c>
      <c r="G64" s="3" t="inlineStr">
        <is>
          <t>LONG</t>
        </is>
      </c>
      <c r="H64" s="3" t="n">
        <v>275.55</v>
      </c>
      <c r="I64" s="3" t="n">
        <v>273.55</v>
      </c>
      <c r="J64" s="3" t="n">
        <v>2500</v>
      </c>
      <c r="K64" s="3" t="n">
        <v>-20.875</v>
      </c>
      <c r="L64" s="3" t="n">
        <v>-0.835</v>
      </c>
      <c r="M64" s="3" t="n">
        <v>1085.749400158866</v>
      </c>
      <c r="N64" s="3" t="inlineStr">
        <is>
          <t>LOSS</t>
        </is>
      </c>
      <c r="O64" s="4">
        <f>HYPERLINK("file:///C:/DATA/CODE/Stocks/BackTest/Plots/intraday_trades/Intraday_Trade_0062_KTKBANK.NS_LOSS.png", "View Intraday Plot Chart")</f>
        <v/>
      </c>
    </row>
    <row r="65">
      <c r="A65" s="2" t="n">
        <v>64</v>
      </c>
      <c r="B65" s="2" t="n">
        <v>63</v>
      </c>
      <c r="C65" s="2" t="inlineStr">
        <is>
          <t>INTRADAY TRADE</t>
        </is>
      </c>
      <c r="D65" s="2" t="inlineStr">
        <is>
          <t>2026-06-18 10:30</t>
        </is>
      </c>
      <c r="E65" s="2" t="inlineStr">
        <is>
          <t>LUPIN.NS</t>
        </is>
      </c>
      <c r="F65" s="2" t="inlineStr">
        <is>
          <t>pivot_resistance+prev_day_high</t>
        </is>
      </c>
      <c r="G65" s="2" t="inlineStr">
        <is>
          <t>LONG</t>
        </is>
      </c>
      <c r="H65" s="2" t="n">
        <v>2286.9</v>
      </c>
      <c r="I65" s="2" t="n">
        <v>2330</v>
      </c>
      <c r="J65" s="2" t="n">
        <v>2500</v>
      </c>
      <c r="K65" s="2" t="n">
        <v>44.34999999999999</v>
      </c>
      <c r="L65" s="2" t="n">
        <v>1.774</v>
      </c>
      <c r="M65" s="2" t="n">
        <v>1130.099400158866</v>
      </c>
      <c r="N65" s="2" t="inlineStr">
        <is>
          <t>PROFIT</t>
        </is>
      </c>
      <c r="O65" s="5">
        <f>HYPERLINK("file:///C:/DATA/CODE/Stocks/BackTest/Plots/intraday_trades/Intraday_Trade_0063_LUPIN.NS_PROFIT.png", "View Intraday Plot Chart")</f>
        <v/>
      </c>
    </row>
    <row r="66">
      <c r="A66" s="3" t="n">
        <v>65</v>
      </c>
      <c r="B66" s="3" t="n">
        <v>64</v>
      </c>
      <c r="C66" s="3" t="inlineStr">
        <is>
          <t>INTRADAY TRADE</t>
        </is>
      </c>
      <c r="D66" s="3" t="inlineStr">
        <is>
          <t>2026-06-18 09:45</t>
        </is>
      </c>
      <c r="E66" s="3" t="inlineStr">
        <is>
          <t>LUPIN.NS</t>
        </is>
      </c>
      <c r="F66" s="3" t="inlineStr">
        <is>
          <t>pivot_resistance</t>
        </is>
      </c>
      <c r="G66" s="3" t="inlineStr">
        <is>
          <t>SHORT</t>
        </is>
      </c>
      <c r="H66" s="3" t="n">
        <v>2283</v>
      </c>
      <c r="I66" s="3" t="n">
        <v>2298.9</v>
      </c>
      <c r="J66" s="3" t="n">
        <v>2500</v>
      </c>
      <c r="K66" s="3" t="n">
        <v>-20.15</v>
      </c>
      <c r="L66" s="3" t="n">
        <v>-0.806</v>
      </c>
      <c r="M66" s="3" t="n">
        <v>1109.949400158866</v>
      </c>
      <c r="N66" s="3" t="inlineStr">
        <is>
          <t>LOSS</t>
        </is>
      </c>
      <c r="O66" s="4">
        <f>HYPERLINK("file:///C:/DATA/CODE/Stocks/BackTest/Plots/intraday_trades/Intraday_Trade_0064_LUPIN.NS_LOSS.png", "View Intraday Plot Chart")</f>
        <v/>
      </c>
    </row>
    <row r="67">
      <c r="A67" s="3" t="n">
        <v>66</v>
      </c>
      <c r="B67" s="3" t="n">
        <v>65</v>
      </c>
      <c r="C67" s="3" t="inlineStr">
        <is>
          <t>INTRADAY TRADE</t>
        </is>
      </c>
      <c r="D67" s="3" t="inlineStr">
        <is>
          <t>2026-06-18 09:45</t>
        </is>
      </c>
      <c r="E67" s="3" t="inlineStr">
        <is>
          <t>LUPIN.NS</t>
        </is>
      </c>
      <c r="F67" s="3" t="inlineStr">
        <is>
          <t>pivot_resistance</t>
        </is>
      </c>
      <c r="G67" s="3" t="inlineStr">
        <is>
          <t>SHORT</t>
        </is>
      </c>
      <c r="H67" s="3" t="n">
        <v>2283</v>
      </c>
      <c r="I67" s="3" t="n">
        <v>2298.9</v>
      </c>
      <c r="J67" s="3" t="n">
        <v>2500</v>
      </c>
      <c r="K67" s="3" t="n">
        <v>-20.15</v>
      </c>
      <c r="L67" s="3" t="n">
        <v>-0.806</v>
      </c>
      <c r="M67" s="3" t="n">
        <v>1089.799400158865</v>
      </c>
      <c r="N67" s="3" t="inlineStr">
        <is>
          <t>LOSS</t>
        </is>
      </c>
      <c r="O67" s="4">
        <f>HYPERLINK("file:///C:/DATA/CODE/Stocks/BackTest/Plots/intraday_trades/Intraday_Trade_0065_LUPIN.NS_LOSS.png", "View Intraday Plot Chart")</f>
        <v/>
      </c>
    </row>
    <row r="68">
      <c r="A68" s="3" t="n">
        <v>67</v>
      </c>
      <c r="B68" s="3" t="n">
        <v>66</v>
      </c>
      <c r="C68" s="3" t="inlineStr">
        <is>
          <t>INTRADAY TRADE</t>
        </is>
      </c>
      <c r="D68" s="3" t="inlineStr">
        <is>
          <t>2026-06-29 11:00</t>
        </is>
      </c>
      <c r="E68" s="3" t="inlineStr">
        <is>
          <t>LUPIN.NS</t>
        </is>
      </c>
      <c r="F68" s="3" t="inlineStr">
        <is>
          <t>pivot_resistance+prev_day_high</t>
        </is>
      </c>
      <c r="G68" s="3" t="inlineStr">
        <is>
          <t>SHORT</t>
        </is>
      </c>
      <c r="H68" s="3" t="n">
        <v>2394</v>
      </c>
      <c r="I68" s="3" t="n">
        <v>2414.2</v>
      </c>
      <c r="J68" s="3" t="n">
        <v>2500</v>
      </c>
      <c r="K68" s="3" t="n">
        <v>-23.85</v>
      </c>
      <c r="L68" s="3" t="n">
        <v>-0.954</v>
      </c>
      <c r="M68" s="3" t="n">
        <v>1065.949400158866</v>
      </c>
      <c r="N68" s="3" t="inlineStr">
        <is>
          <t>LOSS</t>
        </is>
      </c>
      <c r="O68" s="4">
        <f>HYPERLINK("file:///C:/DATA/CODE/Stocks/BackTest/Plots/intraday_trades/Intraday_Trade_0066_LUPIN.NS_LOSS.png", "View Intraday Plot Chart")</f>
        <v/>
      </c>
    </row>
    <row r="69">
      <c r="A69" s="3" t="n">
        <v>68</v>
      </c>
      <c r="B69" s="3" t="n">
        <v>67</v>
      </c>
      <c r="C69" s="3" t="inlineStr">
        <is>
          <t>INTRADAY TRADE</t>
        </is>
      </c>
      <c r="D69" s="3" t="inlineStr">
        <is>
          <t>2026-06-29 11:00</t>
        </is>
      </c>
      <c r="E69" s="3" t="inlineStr">
        <is>
          <t>LUPIN.NS</t>
        </is>
      </c>
      <c r="F69" s="3" t="inlineStr">
        <is>
          <t>pivot_resistance</t>
        </is>
      </c>
      <c r="G69" s="3" t="inlineStr">
        <is>
          <t>SHORT</t>
        </is>
      </c>
      <c r="H69" s="3" t="n">
        <v>2394</v>
      </c>
      <c r="I69" s="3" t="n">
        <v>2414.2</v>
      </c>
      <c r="J69" s="3" t="n">
        <v>2500</v>
      </c>
      <c r="K69" s="3" t="n">
        <v>-23.85</v>
      </c>
      <c r="L69" s="3" t="n">
        <v>-0.954</v>
      </c>
      <c r="M69" s="3" t="n">
        <v>1042.099400158866</v>
      </c>
      <c r="N69" s="3" t="inlineStr">
        <is>
          <t>LOSS</t>
        </is>
      </c>
      <c r="O69" s="4">
        <f>HYPERLINK("file:///C:/DATA/CODE/Stocks/BackTest/Plots/intraday_trades/Intraday_Trade_0067_LUPIN.NS_LOSS.png", "View Intraday Plot Chart")</f>
        <v/>
      </c>
    </row>
    <row r="70">
      <c r="A70" s="3" t="n">
        <v>69</v>
      </c>
      <c r="B70" s="3" t="n">
        <v>68</v>
      </c>
      <c r="C70" s="3" t="inlineStr">
        <is>
          <t>INTRADAY TRADE</t>
        </is>
      </c>
      <c r="D70" s="3" t="inlineStr">
        <is>
          <t>2026-06-29 11:00</t>
        </is>
      </c>
      <c r="E70" s="3" t="inlineStr">
        <is>
          <t>LUPIN.NS</t>
        </is>
      </c>
      <c r="F70" s="3" t="inlineStr">
        <is>
          <t>pivot_resistance</t>
        </is>
      </c>
      <c r="G70" s="3" t="inlineStr">
        <is>
          <t>SHORT</t>
        </is>
      </c>
      <c r="H70" s="3" t="n">
        <v>2394</v>
      </c>
      <c r="I70" s="3" t="n">
        <v>2414.2</v>
      </c>
      <c r="J70" s="3" t="n">
        <v>2500</v>
      </c>
      <c r="K70" s="3" t="n">
        <v>-23.85</v>
      </c>
      <c r="L70" s="3" t="n">
        <v>-0.954</v>
      </c>
      <c r="M70" s="3" t="n">
        <v>1018.249400158866</v>
      </c>
      <c r="N70" s="3" t="inlineStr">
        <is>
          <t>LOSS</t>
        </is>
      </c>
      <c r="O70" s="4">
        <f>HYPERLINK("file:///C:/DATA/CODE/Stocks/BackTest/Plots/intraday_trades/Intraday_Trade_0068_LUPIN.NS_LOSS.png", "View Intraday Plot Chart")</f>
        <v/>
      </c>
    </row>
    <row r="71">
      <c r="A71" s="3" t="n">
        <v>70</v>
      </c>
      <c r="B71" s="3" t="n">
        <v>69</v>
      </c>
      <c r="C71" s="3" t="inlineStr">
        <is>
          <t>INTRADAY TRADE</t>
        </is>
      </c>
      <c r="D71" s="3" t="inlineStr">
        <is>
          <t>2026-06-29 11:00</t>
        </is>
      </c>
      <c r="E71" s="3" t="inlineStr">
        <is>
          <t>LUPIN.NS</t>
        </is>
      </c>
      <c r="F71" s="3" t="inlineStr">
        <is>
          <t>pivot_resistance</t>
        </is>
      </c>
      <c r="G71" s="3" t="inlineStr">
        <is>
          <t>SHORT</t>
        </is>
      </c>
      <c r="H71" s="3" t="n">
        <v>2394</v>
      </c>
      <c r="I71" s="3" t="n">
        <v>2414.2</v>
      </c>
      <c r="J71" s="3" t="n">
        <v>2500</v>
      </c>
      <c r="K71" s="3" t="n">
        <v>-23.85</v>
      </c>
      <c r="L71" s="3" t="n">
        <v>-0.954</v>
      </c>
      <c r="M71" s="3" t="n">
        <v>994.3994001588655</v>
      </c>
      <c r="N71" s="3" t="inlineStr">
        <is>
          <t>LOSS</t>
        </is>
      </c>
      <c r="O71" s="4">
        <f>HYPERLINK("file:///C:/DATA/CODE/Stocks/BackTest/Plots/intraday_trades/Intraday_Trade_0069_LUPIN.NS_LOSS.png", "View Intraday Plot Chart")</f>
        <v/>
      </c>
    </row>
    <row r="72">
      <c r="A72" s="3" t="n">
        <v>71</v>
      </c>
      <c r="B72" s="3" t="n">
        <v>70</v>
      </c>
      <c r="C72" s="3" t="inlineStr">
        <is>
          <t>INTRADAY TRADE</t>
        </is>
      </c>
      <c r="D72" s="3" t="inlineStr">
        <is>
          <t>2026-06-30 12:30</t>
        </is>
      </c>
      <c r="E72" s="3" t="inlineStr">
        <is>
          <t>LUPIN.NS</t>
        </is>
      </c>
      <c r="F72" s="3" t="inlineStr">
        <is>
          <t>prev_day_high</t>
        </is>
      </c>
      <c r="G72" s="3" t="inlineStr">
        <is>
          <t>SHORT</t>
        </is>
      </c>
      <c r="H72" s="3" t="n">
        <v>2412.1</v>
      </c>
      <c r="I72" s="3" t="n">
        <v>2428.2</v>
      </c>
      <c r="J72" s="3" t="n">
        <v>2485.998500397164</v>
      </c>
      <c r="K72" s="3" t="n">
        <v>-19.31620834808596</v>
      </c>
      <c r="L72" s="3" t="n">
        <v>-0.777</v>
      </c>
      <c r="M72" s="3" t="n">
        <v>975.0831918107796</v>
      </c>
      <c r="N72" s="3" t="inlineStr">
        <is>
          <t>LOSS</t>
        </is>
      </c>
      <c r="O72" s="4">
        <f>HYPERLINK("file:///C:/DATA/CODE/Stocks/BackTest/Plots/intraday_trades/Intraday_Trade_0070_LUPIN.NS_LOSS.png", "View Intraday Plot Chart")</f>
        <v/>
      </c>
    </row>
    <row r="73">
      <c r="A73" s="3" t="n">
        <v>72</v>
      </c>
      <c r="B73" s="3" t="n">
        <v>71</v>
      </c>
      <c r="C73" s="3" t="inlineStr">
        <is>
          <t>INTRADAY TRADE</t>
        </is>
      </c>
      <c r="D73" s="3" t="inlineStr">
        <is>
          <t>2026-06-18 11:15</t>
        </is>
      </c>
      <c r="E73" s="3" t="inlineStr">
        <is>
          <t>MAXHEALTH.NS</t>
        </is>
      </c>
      <c r="F73" s="3" t="inlineStr">
        <is>
          <t>pivot_resistance</t>
        </is>
      </c>
      <c r="G73" s="3" t="inlineStr">
        <is>
          <t>SHORT</t>
        </is>
      </c>
      <c r="H73" s="3" t="n">
        <v>1079</v>
      </c>
      <c r="I73" s="3" t="n">
        <v>1088</v>
      </c>
      <c r="J73" s="3" t="n">
        <v>2437.707979526949</v>
      </c>
      <c r="K73" s="3" t="n">
        <v>-23.01196332673439</v>
      </c>
      <c r="L73" s="3" t="n">
        <v>-0.944</v>
      </c>
      <c r="M73" s="3" t="n">
        <v>952.0712284840452</v>
      </c>
      <c r="N73" s="3" t="inlineStr">
        <is>
          <t>LOSS</t>
        </is>
      </c>
      <c r="O73" s="4">
        <f>HYPERLINK("file:///C:/DATA/CODE/Stocks/BackTest/Plots/intraday_trades/Intraday_Trade_0071_MAXHEALTH.NS_LOSS.png", "View Intraday Plot Chart")</f>
        <v/>
      </c>
    </row>
    <row r="74">
      <c r="A74" s="3" t="n">
        <v>73</v>
      </c>
      <c r="B74" s="3" t="n">
        <v>72</v>
      </c>
      <c r="C74" s="3" t="inlineStr">
        <is>
          <t>INTRADAY TRADE</t>
        </is>
      </c>
      <c r="D74" s="3" t="inlineStr">
        <is>
          <t>2026-07-06 11:15</t>
        </is>
      </c>
      <c r="E74" s="3" t="inlineStr">
        <is>
          <t>NYKAA.NS</t>
        </is>
      </c>
      <c r="F74" s="3" t="inlineStr">
        <is>
          <t>pivot_resistance+prev_day_high</t>
        </is>
      </c>
      <c r="G74" s="3" t="inlineStr">
        <is>
          <t>LONG</t>
        </is>
      </c>
      <c r="H74" s="3" t="n">
        <v>313.45</v>
      </c>
      <c r="I74" s="3" t="n">
        <v>311.65</v>
      </c>
      <c r="J74" s="3" t="n">
        <v>2380.178071210113</v>
      </c>
      <c r="K74" s="3" t="n">
        <v>-16.25661622636507</v>
      </c>
      <c r="L74" s="3" t="n">
        <v>-0.6830000000000001</v>
      </c>
      <c r="M74" s="3" t="n">
        <v>935.8146122576801</v>
      </c>
      <c r="N74" s="3" t="inlineStr">
        <is>
          <t>LOSS</t>
        </is>
      </c>
      <c r="O74" s="4">
        <f>HYPERLINK("file:///C:/DATA/CODE/Stocks/BackTest/Plots/intraday_trades/Intraday_Trade_0072_NYKAA.NS_LOSS.png", "View Intraday Plot Chart")</f>
        <v/>
      </c>
    </row>
    <row r="75">
      <c r="A75" s="3" t="n">
        <v>74</v>
      </c>
      <c r="B75" s="3" t="n">
        <v>73</v>
      </c>
      <c r="C75" s="3" t="inlineStr">
        <is>
          <t>INTRADAY TRADE</t>
        </is>
      </c>
      <c r="D75" s="3" t="inlineStr">
        <is>
          <t>2026-07-06 11:15</t>
        </is>
      </c>
      <c r="E75" s="3" t="inlineStr">
        <is>
          <t>NYKAA.NS</t>
        </is>
      </c>
      <c r="F75" s="3" t="inlineStr">
        <is>
          <t>pivot_resistance</t>
        </is>
      </c>
      <c r="G75" s="3" t="inlineStr">
        <is>
          <t>LONG</t>
        </is>
      </c>
      <c r="H75" s="3" t="n">
        <v>313.45</v>
      </c>
      <c r="I75" s="3" t="n">
        <v>311.65</v>
      </c>
      <c r="J75" s="3" t="n">
        <v>2339.5365306442</v>
      </c>
      <c r="K75" s="3" t="n">
        <v>-15.97903450429989</v>
      </c>
      <c r="L75" s="3" t="n">
        <v>-0.6830000000000001</v>
      </c>
      <c r="M75" s="3" t="n">
        <v>919.8355777533802</v>
      </c>
      <c r="N75" s="3" t="inlineStr">
        <is>
          <t>LOSS</t>
        </is>
      </c>
      <c r="O75" s="4">
        <f>HYPERLINK("file:///C:/DATA/CODE/Stocks/BackTest/Plots/intraday_trades/Intraday_Trade_0073_NYKAA.NS_LOSS.png", "View Intraday Plot Chart")</f>
        <v/>
      </c>
    </row>
    <row r="76">
      <c r="A76" s="3" t="n">
        <v>75</v>
      </c>
      <c r="B76" s="3" t="n">
        <v>74</v>
      </c>
      <c r="C76" s="3" t="inlineStr">
        <is>
          <t>INTRADAY TRADE</t>
        </is>
      </c>
      <c r="D76" s="3" t="inlineStr">
        <is>
          <t>2026-07-06 12:45</t>
        </is>
      </c>
      <c r="E76" s="3" t="inlineStr">
        <is>
          <t>NYKAA.NS</t>
        </is>
      </c>
      <c r="F76" s="3" t="inlineStr">
        <is>
          <t>pivot_resistance</t>
        </is>
      </c>
      <c r="G76" s="3" t="inlineStr">
        <is>
          <t>LONG</t>
        </is>
      </c>
      <c r="H76" s="3" t="n">
        <v>312.7</v>
      </c>
      <c r="I76" s="3" t="n">
        <v>311.05</v>
      </c>
      <c r="J76" s="3" t="n">
        <v>2299.58894438345</v>
      </c>
      <c r="K76" s="3" t="n">
        <v>-14.64838157572258</v>
      </c>
      <c r="L76" s="3" t="n">
        <v>-0.637</v>
      </c>
      <c r="M76" s="3" t="n">
        <v>905.1871961776576</v>
      </c>
      <c r="N76" s="3" t="inlineStr">
        <is>
          <t>LOSS</t>
        </is>
      </c>
      <c r="O76" s="4">
        <f>HYPERLINK("file:///C:/DATA/CODE/Stocks/BackTest/Plots/intraday_trades/Intraday_Trade_0074_NYKAA.NS_LOSS.png", "View Intraday Plot Chart")</f>
        <v/>
      </c>
    </row>
    <row r="77">
      <c r="A77" s="3" t="n">
        <v>76</v>
      </c>
      <c r="B77" s="3" t="n">
        <v>75</v>
      </c>
      <c r="C77" s="3" t="inlineStr">
        <is>
          <t>INTRADAY TRADE</t>
        </is>
      </c>
      <c r="D77" s="3" t="inlineStr">
        <is>
          <t>2026-06-19 10:45</t>
        </is>
      </c>
      <c r="E77" s="3" t="inlineStr">
        <is>
          <t>RELIANCE.NS</t>
        </is>
      </c>
      <c r="F77" s="3" t="inlineStr">
        <is>
          <t>prev_day_high</t>
        </is>
      </c>
      <c r="G77" s="3" t="inlineStr">
        <is>
          <t>LONG</t>
        </is>
      </c>
      <c r="H77" s="3" t="n">
        <v>1330.8</v>
      </c>
      <c r="I77" s="3" t="n">
        <v>1322.1</v>
      </c>
      <c r="J77" s="3" t="n">
        <v>2262.967990444144</v>
      </c>
      <c r="K77" s="3" t="n">
        <v>-17.26644576708882</v>
      </c>
      <c r="L77" s="3" t="n">
        <v>-0.763</v>
      </c>
      <c r="M77" s="3" t="n">
        <v>887.9207504105688</v>
      </c>
      <c r="N77" s="3" t="inlineStr">
        <is>
          <t>LOSS</t>
        </is>
      </c>
      <c r="O77" s="4">
        <f>HYPERLINK("file:///C:/DATA/CODE/Stocks/BackTest/Plots/intraday_trades/Intraday_Trade_0075_RELIANCE.NS_LOSS.png", "View Intraday Plot Chart")</f>
        <v/>
      </c>
    </row>
    <row r="78">
      <c r="A78" s="3" t="n">
        <v>77</v>
      </c>
      <c r="B78" s="3" t="n">
        <v>76</v>
      </c>
      <c r="C78" s="3" t="inlineStr">
        <is>
          <t>INTRADAY TRADE</t>
        </is>
      </c>
      <c r="D78" s="3" t="inlineStr">
        <is>
          <t>2026-06-19 10:45</t>
        </is>
      </c>
      <c r="E78" s="3" t="inlineStr">
        <is>
          <t>RELIANCE.NS</t>
        </is>
      </c>
      <c r="F78" s="3" t="inlineStr">
        <is>
          <t>pivot_resistance</t>
        </is>
      </c>
      <c r="G78" s="3" t="inlineStr">
        <is>
          <t>LONG</t>
        </is>
      </c>
      <c r="H78" s="3" t="n">
        <v>1330.8</v>
      </c>
      <c r="I78" s="3" t="n">
        <v>1322.1</v>
      </c>
      <c r="J78" s="3" t="n">
        <v>2219.801876026422</v>
      </c>
      <c r="K78" s="3" t="n">
        <v>-16.9370883140816</v>
      </c>
      <c r="L78" s="3" t="n">
        <v>-0.763</v>
      </c>
      <c r="M78" s="3" t="n">
        <v>870.9836620964871</v>
      </c>
      <c r="N78" s="3" t="inlineStr">
        <is>
          <t>LOSS</t>
        </is>
      </c>
      <c r="O78" s="4">
        <f>HYPERLINK("file:///C:/DATA/CODE/Stocks/BackTest/Plots/intraday_trades/Intraday_Trade_0076_RELIANCE.NS_LOSS.png", "View Intraday Plot Chart")</f>
        <v/>
      </c>
    </row>
    <row r="79">
      <c r="A79" s="3" t="n">
        <v>78</v>
      </c>
      <c r="B79" s="3" t="n">
        <v>77</v>
      </c>
      <c r="C79" s="3" t="inlineStr">
        <is>
          <t>INTRADAY TRADE</t>
        </is>
      </c>
      <c r="D79" s="3" t="inlineStr">
        <is>
          <t>2026-06-19 10:45</t>
        </is>
      </c>
      <c r="E79" s="3" t="inlineStr">
        <is>
          <t>RELIANCE.NS</t>
        </is>
      </c>
      <c r="F79" s="3" t="inlineStr">
        <is>
          <t>pivot_resistance</t>
        </is>
      </c>
      <c r="G79" s="3" t="inlineStr">
        <is>
          <t>LONG</t>
        </is>
      </c>
      <c r="H79" s="3" t="n">
        <v>1330.8</v>
      </c>
      <c r="I79" s="3" t="n">
        <v>1322.1</v>
      </c>
      <c r="J79" s="3" t="n">
        <v>2177.459155241218</v>
      </c>
      <c r="K79" s="3" t="n">
        <v>-16.6140133544905</v>
      </c>
      <c r="L79" s="3" t="n">
        <v>-0.763</v>
      </c>
      <c r="M79" s="3" t="n">
        <v>854.3696487419967</v>
      </c>
      <c r="N79" s="3" t="inlineStr">
        <is>
          <t>LOSS</t>
        </is>
      </c>
      <c r="O79" s="4">
        <f>HYPERLINK("file:///C:/DATA/CODE/Stocks/BackTest/Plots/intraday_trades/Intraday_Trade_0077_RELIANCE.NS_LOSS.png", "View Intraday Plot Chart")</f>
        <v/>
      </c>
    </row>
    <row r="80">
      <c r="A80" s="3" t="n">
        <v>79</v>
      </c>
      <c r="B80" s="3" t="n">
        <v>78</v>
      </c>
      <c r="C80" s="3" t="inlineStr">
        <is>
          <t>INTRADAY TRADE</t>
        </is>
      </c>
      <c r="D80" s="3" t="inlineStr">
        <is>
          <t>2026-06-22 09:45</t>
        </is>
      </c>
      <c r="E80" s="3" t="inlineStr">
        <is>
          <t>RELIANCE.NS</t>
        </is>
      </c>
      <c r="F80" s="3" t="inlineStr">
        <is>
          <t>pivot_resistance+prev_day_high</t>
        </is>
      </c>
      <c r="G80" s="3" t="inlineStr">
        <is>
          <t>SHORT</t>
        </is>
      </c>
      <c r="H80" s="3" t="n">
        <v>1336</v>
      </c>
      <c r="I80" s="3" t="n">
        <v>1343</v>
      </c>
      <c r="J80" s="3" t="n">
        <v>2135.924121854992</v>
      </c>
      <c r="K80" s="3" t="n">
        <v>-13.54175893256065</v>
      </c>
      <c r="L80" s="3" t="n">
        <v>-0.634</v>
      </c>
      <c r="M80" s="3" t="n">
        <v>840.827889809436</v>
      </c>
      <c r="N80" s="3" t="inlineStr">
        <is>
          <t>LOSS</t>
        </is>
      </c>
      <c r="O80" s="4">
        <f>HYPERLINK("file:///C:/DATA/CODE/Stocks/BackTest/Plots/intraday_trades/Intraday_Trade_0078_RELIANCE.NS_LOSS.png", "View Intraday Plot Chart")</f>
        <v/>
      </c>
    </row>
    <row r="81">
      <c r="A81" s="3" t="n">
        <v>80</v>
      </c>
      <c r="B81" s="3" t="n">
        <v>79</v>
      </c>
      <c r="C81" s="3" t="inlineStr">
        <is>
          <t>INTRADAY TRADE</t>
        </is>
      </c>
      <c r="D81" s="3" t="inlineStr">
        <is>
          <t>2026-06-22 09:45</t>
        </is>
      </c>
      <c r="E81" s="3" t="inlineStr">
        <is>
          <t>RELIANCE.NS</t>
        </is>
      </c>
      <c r="F81" s="3" t="inlineStr">
        <is>
          <t>pivot_resistance</t>
        </is>
      </c>
      <c r="G81" s="3" t="inlineStr">
        <is>
          <t>SHORT</t>
        </is>
      </c>
      <c r="H81" s="3" t="n">
        <v>1336</v>
      </c>
      <c r="I81" s="3" t="n">
        <v>1343</v>
      </c>
      <c r="J81" s="3" t="n">
        <v>2102.06972452359</v>
      </c>
      <c r="K81" s="3" t="n">
        <v>-13.32712205347956</v>
      </c>
      <c r="L81" s="3" t="n">
        <v>-0.634</v>
      </c>
      <c r="M81" s="3" t="n">
        <v>827.5007677559564</v>
      </c>
      <c r="N81" s="3" t="inlineStr">
        <is>
          <t>LOSS</t>
        </is>
      </c>
      <c r="O81" s="4">
        <f>HYPERLINK("file:///C:/DATA/CODE/Stocks/BackTest/Plots/intraday_trades/Intraday_Trade_0079_RELIANCE.NS_LOSS.png", "View Intraday Plot Chart")</f>
        <v/>
      </c>
    </row>
    <row r="82">
      <c r="A82" s="2" t="n">
        <v>81</v>
      </c>
      <c r="B82" s="2" t="n">
        <v>80</v>
      </c>
      <c r="C82" s="2" t="inlineStr">
        <is>
          <t>INTRADAY TRADE</t>
        </is>
      </c>
      <c r="D82" s="2" t="inlineStr">
        <is>
          <t>2026-06-29 15:00</t>
        </is>
      </c>
      <c r="E82" s="2" t="inlineStr">
        <is>
          <t>RELIANCE.NS</t>
        </is>
      </c>
      <c r="F82" s="2" t="inlineStr">
        <is>
          <t>pivot_support</t>
        </is>
      </c>
      <c r="G82" s="2" t="inlineStr">
        <is>
          <t>LONG</t>
        </is>
      </c>
      <c r="H82" s="2" t="n">
        <v>1297.7</v>
      </c>
      <c r="I82" s="2" t="n">
        <v>1302</v>
      </c>
      <c r="J82" s="2" t="n">
        <v>2068.751919389891</v>
      </c>
      <c r="K82" s="2" t="n">
        <v>4.592629261045559</v>
      </c>
      <c r="L82" s="2" t="n">
        <v>0.222</v>
      </c>
      <c r="M82" s="2" t="n">
        <v>832.093397017002</v>
      </c>
      <c r="N82" s="2" t="inlineStr">
        <is>
          <t>PROFIT</t>
        </is>
      </c>
      <c r="O82" s="5">
        <f>HYPERLINK("file:///C:/DATA/CODE/Stocks/BackTest/Plots/intraday_trades/Intraday_Trade_0080_RELIANCE.NS_PROFIT.png", "View Intraday Plot Chart")</f>
        <v/>
      </c>
    </row>
    <row r="83">
      <c r="A83" s="3" t="n">
        <v>82</v>
      </c>
      <c r="B83" s="3" t="n">
        <v>81</v>
      </c>
      <c r="C83" s="3" t="inlineStr">
        <is>
          <t>INTRADAY TRADE</t>
        </is>
      </c>
      <c r="D83" s="3" t="inlineStr">
        <is>
          <t>2026-06-29 10:15</t>
        </is>
      </c>
      <c r="E83" s="3" t="inlineStr">
        <is>
          <t>RELIANCE.NS</t>
        </is>
      </c>
      <c r="F83" s="3" t="inlineStr">
        <is>
          <t>pivot_support</t>
        </is>
      </c>
      <c r="G83" s="3" t="inlineStr">
        <is>
          <t>LONG</t>
        </is>
      </c>
      <c r="H83" s="3" t="n">
        <v>1311</v>
      </c>
      <c r="I83" s="3" t="n">
        <v>1307</v>
      </c>
      <c r="J83" s="3" t="n">
        <v>2080.233492542505</v>
      </c>
      <c r="K83" s="3" t="n">
        <v>-8.612166659125968</v>
      </c>
      <c r="L83" s="3" t="n">
        <v>-0.414</v>
      </c>
      <c r="M83" s="3" t="n">
        <v>823.481230357876</v>
      </c>
      <c r="N83" s="3" t="inlineStr">
        <is>
          <t>LOSS</t>
        </is>
      </c>
      <c r="O83" s="4">
        <f>HYPERLINK("file:///C:/DATA/CODE/Stocks/BackTest/Plots/intraday_trades/Intraday_Trade_0081_RELIANCE.NS_LOSS.png", "View Intraday Plot Chart")</f>
        <v/>
      </c>
    </row>
    <row r="84">
      <c r="A84" s="2" t="n">
        <v>83</v>
      </c>
      <c r="B84" s="2" t="n">
        <v>82</v>
      </c>
      <c r="C84" s="2" t="inlineStr">
        <is>
          <t>INTRADAY TRADE</t>
        </is>
      </c>
      <c r="D84" s="2" t="inlineStr">
        <is>
          <t>2026-06-29 10:45</t>
        </is>
      </c>
      <c r="E84" s="2" t="inlineStr">
        <is>
          <t>RELIANCE.NS</t>
        </is>
      </c>
      <c r="F84" s="2" t="inlineStr">
        <is>
          <t>pivot_support</t>
        </is>
      </c>
      <c r="G84" s="2" t="inlineStr">
        <is>
          <t>SHORT</t>
        </is>
      </c>
      <c r="H84" s="2" t="n">
        <v>1311.2</v>
      </c>
      <c r="I84" s="2" t="n">
        <v>1302</v>
      </c>
      <c r="J84" s="2" t="n">
        <v>2058.70307589469</v>
      </c>
      <c r="K84" s="2" t="n">
        <v>12.20810924005551</v>
      </c>
      <c r="L84" s="2" t="n">
        <v>0.593</v>
      </c>
      <c r="M84" s="2" t="n">
        <v>835.6893395979315</v>
      </c>
      <c r="N84" s="2" t="inlineStr">
        <is>
          <t>PROFIT</t>
        </is>
      </c>
      <c r="O84" s="5">
        <f>HYPERLINK("file:///C:/DATA/CODE/Stocks/BackTest/Plots/intraday_trades/Intraday_Trade_0082_RELIANCE.NS_PROFIT.png", "View Intraday Plot Chart")</f>
        <v/>
      </c>
    </row>
    <row r="85">
      <c r="A85" s="3" t="n">
        <v>84</v>
      </c>
      <c r="B85" s="3" t="n">
        <v>83</v>
      </c>
      <c r="C85" s="3" t="inlineStr">
        <is>
          <t>INTRADAY TRADE</t>
        </is>
      </c>
      <c r="D85" s="3" t="inlineStr">
        <is>
          <t>2026-06-18 10:30</t>
        </is>
      </c>
      <c r="E85" s="3" t="inlineStr">
        <is>
          <t>RVNL.NS</t>
        </is>
      </c>
      <c r="F85" s="3" t="inlineStr">
        <is>
          <t>pivot_resistance+prev_day_high</t>
        </is>
      </c>
      <c r="G85" s="3" t="inlineStr">
        <is>
          <t>LONG</t>
        </is>
      </c>
      <c r="H85" s="3" t="n">
        <v>246.98</v>
      </c>
      <c r="I85" s="3" t="n">
        <v>245.75</v>
      </c>
      <c r="J85" s="3" t="n">
        <v>2089.223348994829</v>
      </c>
      <c r="K85" s="3" t="n">
        <v>-12.68158572839861</v>
      </c>
      <c r="L85" s="3" t="n">
        <v>-0.607</v>
      </c>
      <c r="M85" s="3" t="n">
        <v>823.0077538695328</v>
      </c>
      <c r="N85" s="3" t="inlineStr">
        <is>
          <t>LOSS</t>
        </is>
      </c>
      <c r="O85" s="4">
        <f>HYPERLINK("file:///C:/DATA/CODE/Stocks/BackTest/Plots/intraday_trades/Intraday_Trade_0083_RVNL.NS_LOSS.png", "View Intraday Plot Chart")</f>
        <v/>
      </c>
    </row>
    <row r="86">
      <c r="A86" s="3" t="n">
        <v>85</v>
      </c>
      <c r="B86" s="3" t="n">
        <v>84</v>
      </c>
      <c r="C86" s="3" t="inlineStr">
        <is>
          <t>INTRADAY TRADE</t>
        </is>
      </c>
      <c r="D86" s="3" t="inlineStr">
        <is>
          <t>2026-06-17 13:00</t>
        </is>
      </c>
      <c r="E86" s="3" t="inlineStr">
        <is>
          <t>SIEMENS.NS</t>
        </is>
      </c>
      <c r="F86" s="3" t="inlineStr">
        <is>
          <t>pivot_resistance+prev_day_high</t>
        </is>
      </c>
      <c r="G86" s="3" t="inlineStr">
        <is>
          <t>SHORT</t>
        </is>
      </c>
      <c r="H86" s="3" t="n">
        <v>3675</v>
      </c>
      <c r="I86" s="3" t="n">
        <v>3708</v>
      </c>
      <c r="J86" s="3" t="n">
        <v>2057.519384673832</v>
      </c>
      <c r="K86" s="3" t="n">
        <v>-20.73979539751223</v>
      </c>
      <c r="L86" s="3" t="n">
        <v>-1.008</v>
      </c>
      <c r="M86" s="3" t="n">
        <v>802.2679584720206</v>
      </c>
      <c r="N86" s="3" t="inlineStr">
        <is>
          <t>LOSS</t>
        </is>
      </c>
      <c r="O86" s="4">
        <f>HYPERLINK("file:///C:/DATA/CODE/Stocks/BackTest/Plots/intraday_trades/Intraday_Trade_0084_SIEMENS.NS_LOSS.png", "View Intraday Plot Chart")</f>
        <v/>
      </c>
    </row>
    <row r="87">
      <c r="A87" s="3" t="n">
        <v>86</v>
      </c>
      <c r="B87" s="3" t="n">
        <v>85</v>
      </c>
      <c r="C87" s="3" t="inlineStr">
        <is>
          <t>INTRADAY TRADE</t>
        </is>
      </c>
      <c r="D87" s="3" t="inlineStr">
        <is>
          <t>2026-06-17 11:45</t>
        </is>
      </c>
      <c r="E87" s="3" t="inlineStr">
        <is>
          <t>SIEMENS.NS</t>
        </is>
      </c>
      <c r="F87" s="3" t="inlineStr">
        <is>
          <t>pivot_resistance</t>
        </is>
      </c>
      <c r="G87" s="3" t="inlineStr">
        <is>
          <t>SHORT</t>
        </is>
      </c>
      <c r="H87" s="3" t="n">
        <v>3660.6</v>
      </c>
      <c r="I87" s="3" t="n">
        <v>3684.6</v>
      </c>
      <c r="J87" s="3" t="n">
        <v>2005.669896180052</v>
      </c>
      <c r="K87" s="3" t="n">
        <v>-15.3634314047392</v>
      </c>
      <c r="L87" s="3" t="n">
        <v>-0.766</v>
      </c>
      <c r="M87" s="3" t="n">
        <v>786.9045270672814</v>
      </c>
      <c r="N87" s="3" t="inlineStr">
        <is>
          <t>LOSS</t>
        </is>
      </c>
      <c r="O87" s="4">
        <f>HYPERLINK("file:///C:/DATA/CODE/Stocks/BackTest/Plots/intraday_trades/Intraday_Trade_0085_SIEMENS.NS_LOSS.png", "View Intraday Plot Chart")</f>
        <v/>
      </c>
    </row>
    <row r="88">
      <c r="A88" s="3" t="n">
        <v>87</v>
      </c>
      <c r="B88" s="3" t="n">
        <v>86</v>
      </c>
      <c r="C88" s="3" t="inlineStr">
        <is>
          <t>INTRADAY TRADE</t>
        </is>
      </c>
      <c r="D88" s="3" t="inlineStr">
        <is>
          <t>2026-06-17 11:45</t>
        </is>
      </c>
      <c r="E88" s="3" t="inlineStr">
        <is>
          <t>SIEMENS.NS</t>
        </is>
      </c>
      <c r="F88" s="3" t="inlineStr">
        <is>
          <t>pivot_resistance</t>
        </is>
      </c>
      <c r="G88" s="3" t="inlineStr">
        <is>
          <t>SHORT</t>
        </is>
      </c>
      <c r="H88" s="3" t="n">
        <v>3660.6</v>
      </c>
      <c r="I88" s="3" t="n">
        <v>3684.6</v>
      </c>
      <c r="J88" s="3" t="n">
        <v>1967.261317668203</v>
      </c>
      <c r="K88" s="3" t="n">
        <v>-15.06922169333844</v>
      </c>
      <c r="L88" s="3" t="n">
        <v>-0.766</v>
      </c>
      <c r="M88" s="3" t="n">
        <v>771.8353053739429</v>
      </c>
      <c r="N88" s="3" t="inlineStr">
        <is>
          <t>LOSS</t>
        </is>
      </c>
      <c r="O88" s="4">
        <f>HYPERLINK("file:///C:/DATA/CODE/Stocks/BackTest/Plots/intraday_trades/Intraday_Trade_0086_SIEMENS.NS_LOSS.png", "View Intraday Plot Chart")</f>
        <v/>
      </c>
    </row>
    <row r="89">
      <c r="A89" s="3" t="n">
        <v>88</v>
      </c>
      <c r="B89" s="3" t="n">
        <v>87</v>
      </c>
      <c r="C89" s="3" t="inlineStr">
        <is>
          <t>INTRADAY TRADE</t>
        </is>
      </c>
      <c r="D89" s="3" t="inlineStr">
        <is>
          <t>2026-06-30 11:00</t>
        </is>
      </c>
      <c r="E89" s="3" t="inlineStr">
        <is>
          <t>SJVN.NS</t>
        </is>
      </c>
      <c r="F89" s="3" t="inlineStr">
        <is>
          <t>pivot_resistance</t>
        </is>
      </c>
      <c r="G89" s="3" t="inlineStr">
        <is>
          <t>LONG</t>
        </is>
      </c>
      <c r="H89" s="3" t="n">
        <v>73.42</v>
      </c>
      <c r="I89" s="3" t="n">
        <v>73.01000000000001</v>
      </c>
      <c r="J89" s="3" t="n">
        <v>1929.588263434857</v>
      </c>
      <c r="K89" s="3" t="n">
        <v>-12.88964959974485</v>
      </c>
      <c r="L89" s="3" t="n">
        <v>-0.668</v>
      </c>
      <c r="M89" s="3" t="n">
        <v>758.945655774198</v>
      </c>
      <c r="N89" s="3" t="inlineStr">
        <is>
          <t>LOSS</t>
        </is>
      </c>
      <c r="O89" s="4">
        <f>HYPERLINK("file:///C:/DATA/CODE/Stocks/BackTest/Plots/intraday_trades/Intraday_Trade_0087_SJVN.NS_LOSS.png", "View Intraday Plot Chart")</f>
        <v/>
      </c>
    </row>
    <row r="90">
      <c r="A90" s="3" t="n">
        <v>89</v>
      </c>
      <c r="B90" s="3" t="n">
        <v>88</v>
      </c>
      <c r="C90" s="3" t="inlineStr">
        <is>
          <t>INTRADAY TRADE</t>
        </is>
      </c>
      <c r="D90" s="3" t="inlineStr">
        <is>
          <t>2026-06-30 11:00</t>
        </is>
      </c>
      <c r="E90" s="3" t="inlineStr">
        <is>
          <t>SJVN.NS</t>
        </is>
      </c>
      <c r="F90" s="3" t="inlineStr">
        <is>
          <t>pivot_resistance</t>
        </is>
      </c>
      <c r="G90" s="3" t="inlineStr">
        <is>
          <t>LONG</t>
        </is>
      </c>
      <c r="H90" s="3" t="n">
        <v>73.42</v>
      </c>
      <c r="I90" s="3" t="n">
        <v>73.01000000000001</v>
      </c>
      <c r="J90" s="3" t="n">
        <v>1897.364139435495</v>
      </c>
      <c r="K90" s="3" t="n">
        <v>-12.67439245142911</v>
      </c>
      <c r="L90" s="3" t="n">
        <v>-0.668</v>
      </c>
      <c r="M90" s="3" t="n">
        <v>746.271263322769</v>
      </c>
      <c r="N90" s="3" t="inlineStr">
        <is>
          <t>LOSS</t>
        </is>
      </c>
      <c r="O90" s="4">
        <f>HYPERLINK("file:///C:/DATA/CODE/Stocks/BackTest/Plots/intraday_trades/Intraday_Trade_0088_SJVN.NS_LOSS.png", "View Intraday Plot Chart")</f>
        <v/>
      </c>
    </row>
    <row r="91">
      <c r="A91" s="3" t="n">
        <v>90</v>
      </c>
      <c r="B91" s="3" t="n">
        <v>89</v>
      </c>
      <c r="C91" s="3" t="inlineStr">
        <is>
          <t>INTRADAY TRADE</t>
        </is>
      </c>
      <c r="D91" s="3" t="inlineStr">
        <is>
          <t>2026-06-22 11:00</t>
        </is>
      </c>
      <c r="E91" s="3" t="inlineStr">
        <is>
          <t>SUNPHARMA.NS</t>
        </is>
      </c>
      <c r="F91" s="3" t="inlineStr">
        <is>
          <t>prev_day_high</t>
        </is>
      </c>
      <c r="G91" s="3" t="inlineStr">
        <is>
          <t>SHORT</t>
        </is>
      </c>
      <c r="H91" s="3" t="n">
        <v>1847.6</v>
      </c>
      <c r="I91" s="3" t="n">
        <v>1857.6</v>
      </c>
      <c r="J91" s="3" t="n">
        <v>1865.678158306922</v>
      </c>
      <c r="K91" s="3" t="n">
        <v>-12.14556481057807</v>
      </c>
      <c r="L91" s="3" t="n">
        <v>-0.651</v>
      </c>
      <c r="M91" s="3" t="n">
        <v>734.1256985121909</v>
      </c>
      <c r="N91" s="3" t="inlineStr">
        <is>
          <t>LOSS</t>
        </is>
      </c>
      <c r="O91" s="4">
        <f>HYPERLINK("file:///C:/DATA/CODE/Stocks/BackTest/Plots/intraday_trades/Intraday_Trade_0089_SUNPHARMA.NS_LOSS.png", "View Intraday Plot Chart")</f>
        <v/>
      </c>
    </row>
    <row r="92">
      <c r="A92" s="3" t="n">
        <v>91</v>
      </c>
      <c r="B92" s="3" t="n">
        <v>90</v>
      </c>
      <c r="C92" s="3" t="inlineStr">
        <is>
          <t>INTRADAY TRADE</t>
        </is>
      </c>
      <c r="D92" s="3" t="inlineStr">
        <is>
          <t>2026-07-01 11:15</t>
        </is>
      </c>
      <c r="E92" s="3" t="inlineStr">
        <is>
          <t>SUNPHARMA.NS</t>
        </is>
      </c>
      <c r="F92" s="3" t="inlineStr">
        <is>
          <t>pivot_resistance</t>
        </is>
      </c>
      <c r="G92" s="3" t="inlineStr">
        <is>
          <t>LONG</t>
        </is>
      </c>
      <c r="H92" s="3" t="n">
        <v>1875.3</v>
      </c>
      <c r="I92" s="3" t="n">
        <v>1861.5</v>
      </c>
      <c r="J92" s="3" t="n">
        <v>1835.314246280477</v>
      </c>
      <c r="K92" s="3" t="n">
        <v>-15.50840538107003</v>
      </c>
      <c r="L92" s="3" t="n">
        <v>-0.845</v>
      </c>
      <c r="M92" s="3" t="n">
        <v>718.6172931311208</v>
      </c>
      <c r="N92" s="3" t="inlineStr">
        <is>
          <t>LOSS</t>
        </is>
      </c>
      <c r="O92" s="4">
        <f>HYPERLINK("file:///C:/DATA/CODE/Stocks/BackTest/Plots/intraday_trades/Intraday_Trade_0090_SUNPHARMA.NS_LOSS.png", "View Intraday Plot Chart")</f>
        <v/>
      </c>
    </row>
    <row r="93">
      <c r="A93" s="3" t="n">
        <v>92</v>
      </c>
      <c r="B93" s="3" t="n">
        <v>91</v>
      </c>
      <c r="C93" s="3" t="inlineStr">
        <is>
          <t>INTRADAY TRADE</t>
        </is>
      </c>
      <c r="D93" s="3" t="inlineStr">
        <is>
          <t>2026-07-01 14:30</t>
        </is>
      </c>
      <c r="E93" s="3" t="inlineStr">
        <is>
          <t>TATACOMM.NS</t>
        </is>
      </c>
      <c r="F93" s="3" t="inlineStr">
        <is>
          <t>pivot_support</t>
        </is>
      </c>
      <c r="G93" s="3" t="inlineStr">
        <is>
          <t>LONG</t>
        </is>
      </c>
      <c r="H93" s="3" t="n">
        <v>1919.8</v>
      </c>
      <c r="I93" s="3" t="n">
        <v>1904</v>
      </c>
      <c r="J93" s="3" t="n">
        <v>1796.543232827802</v>
      </c>
      <c r="K93" s="3" t="n">
        <v>-16.74378292995512</v>
      </c>
      <c r="L93" s="3" t="n">
        <v>-0.9320000000000001</v>
      </c>
      <c r="M93" s="3" t="n">
        <v>701.8735102011657</v>
      </c>
      <c r="N93" s="3" t="inlineStr">
        <is>
          <t>LOSS</t>
        </is>
      </c>
      <c r="O93" s="4">
        <f>HYPERLINK("file:///C:/DATA/CODE/Stocks/BackTest/Plots/intraday_trades/Intraday_Trade_0091_TATACOMM.NS_LOSS.png", "View Intraday Plot Chart")</f>
        <v/>
      </c>
    </row>
    <row r="94">
      <c r="A94" s="3" t="n">
        <v>93</v>
      </c>
      <c r="B94" s="3" t="n">
        <v>92</v>
      </c>
      <c r="C94" s="3" t="inlineStr">
        <is>
          <t>INTRADAY TRADE</t>
        </is>
      </c>
      <c r="D94" s="3" t="inlineStr">
        <is>
          <t>2026-07-01 14:30</t>
        </is>
      </c>
      <c r="E94" s="3" t="inlineStr">
        <is>
          <t>TATACOMM.NS</t>
        </is>
      </c>
      <c r="F94" s="3" t="inlineStr">
        <is>
          <t>pivot_support</t>
        </is>
      </c>
      <c r="G94" s="3" t="inlineStr">
        <is>
          <t>LONG</t>
        </is>
      </c>
      <c r="H94" s="3" t="n">
        <v>1919.8</v>
      </c>
      <c r="I94" s="3" t="n">
        <v>1904</v>
      </c>
      <c r="J94" s="3" t="n">
        <v>1754.683775502914</v>
      </c>
      <c r="K94" s="3" t="n">
        <v>-16.35365278768716</v>
      </c>
      <c r="L94" s="3" t="n">
        <v>-0.9320000000000001</v>
      </c>
      <c r="M94" s="3" t="n">
        <v>685.5198574134786</v>
      </c>
      <c r="N94" s="3" t="inlineStr">
        <is>
          <t>LOSS</t>
        </is>
      </c>
      <c r="O94" s="4">
        <f>HYPERLINK("file:///C:/DATA/CODE/Stocks/BackTest/Plots/intraday_trades/Intraday_Trade_0092_TATACOMM.NS_LOSS.png", "View Intraday Plot Chart")</f>
        <v/>
      </c>
    </row>
    <row r="95">
      <c r="A95" s="3" t="n">
        <v>94</v>
      </c>
      <c r="B95" s="3" t="n">
        <v>93</v>
      </c>
      <c r="C95" s="3" t="inlineStr">
        <is>
          <t>INTRADAY TRADE</t>
        </is>
      </c>
      <c r="D95" s="3" t="inlineStr">
        <is>
          <t>2026-06-24 12:45</t>
        </is>
      </c>
      <c r="E95" s="3" t="inlineStr">
        <is>
          <t>TATAPOWER.NS</t>
        </is>
      </c>
      <c r="F95" s="3" t="inlineStr">
        <is>
          <t>pivot_support+prev_day_low</t>
        </is>
      </c>
      <c r="G95" s="3" t="inlineStr">
        <is>
          <t>LONG</t>
        </is>
      </c>
      <c r="H95" s="3" t="n">
        <v>394.2</v>
      </c>
      <c r="I95" s="3" t="n">
        <v>392.8</v>
      </c>
      <c r="J95" s="3" t="n">
        <v>1713.799643533696</v>
      </c>
      <c r="K95" s="3" t="n">
        <v>-7.952030345996351</v>
      </c>
      <c r="L95" s="3" t="n">
        <v>-0.464</v>
      </c>
      <c r="M95" s="3" t="n">
        <v>677.5678270674822</v>
      </c>
      <c r="N95" s="3" t="inlineStr">
        <is>
          <t>LOSS</t>
        </is>
      </c>
      <c r="O95" s="4">
        <f>HYPERLINK("file:///C:/DATA/CODE/Stocks/BackTest/Plots/intraday_trades/Intraday_Trade_0093_TATAPOWER.NS_LOSS.png", "View Intraday Plot Chart")</f>
        <v/>
      </c>
    </row>
    <row r="96">
      <c r="A96" s="3" t="n">
        <v>95</v>
      </c>
      <c r="B96" s="3" t="n">
        <v>94</v>
      </c>
      <c r="C96" s="3" t="inlineStr">
        <is>
          <t>INTRADAY TRADE</t>
        </is>
      </c>
      <c r="D96" s="3" t="inlineStr">
        <is>
          <t>2026-06-24 12:45</t>
        </is>
      </c>
      <c r="E96" s="3" t="inlineStr">
        <is>
          <t>TATAPOWER.NS</t>
        </is>
      </c>
      <c r="F96" s="3" t="inlineStr">
        <is>
          <t>pivot_support</t>
        </is>
      </c>
      <c r="G96" s="3" t="inlineStr">
        <is>
          <t>LONG</t>
        </is>
      </c>
      <c r="H96" s="3" t="n">
        <v>394.2</v>
      </c>
      <c r="I96" s="3" t="n">
        <v>392.8</v>
      </c>
      <c r="J96" s="3" t="n">
        <v>1693.919567668705</v>
      </c>
      <c r="K96" s="3" t="n">
        <v>-7.859786793982793</v>
      </c>
      <c r="L96" s="3" t="n">
        <v>-0.464</v>
      </c>
      <c r="M96" s="3" t="n">
        <v>669.7080402734994</v>
      </c>
      <c r="N96" s="3" t="inlineStr">
        <is>
          <t>LOSS</t>
        </is>
      </c>
      <c r="O96" s="4">
        <f>HYPERLINK("file:///C:/DATA/CODE/Stocks/BackTest/Plots/intraday_trades/Intraday_Trade_0094_TATAPOWER.NS_LOSS.png", "View Intraday Plot Chart")</f>
        <v/>
      </c>
    </row>
    <row r="97">
      <c r="A97" s="3" t="n">
        <v>96</v>
      </c>
      <c r="B97" s="3" t="n">
        <v>95</v>
      </c>
      <c r="C97" s="3" t="inlineStr">
        <is>
          <t>INTRADAY TRADE</t>
        </is>
      </c>
      <c r="D97" s="3" t="inlineStr">
        <is>
          <t>2026-06-24 12:45</t>
        </is>
      </c>
      <c r="E97" s="3" t="inlineStr">
        <is>
          <t>TATAPOWER.NS</t>
        </is>
      </c>
      <c r="F97" s="3" t="inlineStr">
        <is>
          <t>pivot_support</t>
        </is>
      </c>
      <c r="G97" s="3" t="inlineStr">
        <is>
          <t>LONG</t>
        </is>
      </c>
      <c r="H97" s="3" t="n">
        <v>394.2</v>
      </c>
      <c r="I97" s="3" t="n">
        <v>392.8</v>
      </c>
      <c r="J97" s="3" t="n">
        <v>1674.270100683748</v>
      </c>
      <c r="K97" s="3" t="n">
        <v>-7.768613267172592</v>
      </c>
      <c r="L97" s="3" t="n">
        <v>-0.464</v>
      </c>
      <c r="M97" s="3" t="n">
        <v>661.9394270063268</v>
      </c>
      <c r="N97" s="3" t="inlineStr">
        <is>
          <t>LOSS</t>
        </is>
      </c>
      <c r="O97" s="4">
        <f>HYPERLINK("file:///C:/DATA/CODE/Stocks/BackTest/Plots/intraday_trades/Intraday_Trade_0095_TATAPOWER.NS_LOSS.png", "View Intraday Plot Chart")</f>
        <v/>
      </c>
    </row>
    <row r="98">
      <c r="A98" s="2" t="n">
        <v>97</v>
      </c>
      <c r="B98" s="2" t="n">
        <v>96</v>
      </c>
      <c r="C98" s="2" t="inlineStr">
        <is>
          <t>INTRADAY TRADE</t>
        </is>
      </c>
      <c r="D98" s="2" t="inlineStr">
        <is>
          <t>2026-06-23 11:30</t>
        </is>
      </c>
      <c r="E98" s="2" t="inlineStr">
        <is>
          <t>TECHM.NS</t>
        </is>
      </c>
      <c r="F98" s="2" t="inlineStr">
        <is>
          <t>prev_day_low</t>
        </is>
      </c>
      <c r="G98" s="2" t="inlineStr">
        <is>
          <t>LONG</t>
        </is>
      </c>
      <c r="H98" s="2" t="n">
        <v>1408.1</v>
      </c>
      <c r="I98" s="2" t="n">
        <v>1415.6</v>
      </c>
      <c r="J98" s="2" t="n">
        <v>1654.848567515817</v>
      </c>
      <c r="K98" s="2" t="n">
        <v>7.000009440591906</v>
      </c>
      <c r="L98" s="2" t="n">
        <v>0.423</v>
      </c>
      <c r="M98" s="2" t="n">
        <v>668.9394364469188</v>
      </c>
      <c r="N98" s="2" t="inlineStr">
        <is>
          <t>PROFIT</t>
        </is>
      </c>
      <c r="O98" s="5">
        <f>HYPERLINK("file:///C:/DATA/CODE/Stocks/BackTest/Plots/intraday_trades/Intraday_Trade_0096_TECHM.NS_PROFIT.png", "View Intraday Plot Chart")</f>
        <v/>
      </c>
    </row>
    <row r="99">
      <c r="A99" s="2" t="n">
        <v>98</v>
      </c>
      <c r="B99" s="2" t="n">
        <v>97</v>
      </c>
      <c r="C99" s="2" t="inlineStr">
        <is>
          <t>INTRADAY TRADE</t>
        </is>
      </c>
      <c r="D99" s="2" t="inlineStr">
        <is>
          <t>2026-06-23 11:30</t>
        </is>
      </c>
      <c r="E99" s="2" t="inlineStr">
        <is>
          <t>TECHM.NS</t>
        </is>
      </c>
      <c r="F99" s="2" t="inlineStr">
        <is>
          <t>pivot_support</t>
        </is>
      </c>
      <c r="G99" s="2" t="inlineStr">
        <is>
          <t>LONG</t>
        </is>
      </c>
      <c r="H99" s="2" t="n">
        <v>1408.1</v>
      </c>
      <c r="I99" s="2" t="n">
        <v>1415.6</v>
      </c>
      <c r="J99" s="2" t="n">
        <v>1672.348591117297</v>
      </c>
      <c r="K99" s="2" t="n">
        <v>7.074034540426167</v>
      </c>
      <c r="L99" s="2" t="n">
        <v>0.423</v>
      </c>
      <c r="M99" s="2" t="n">
        <v>676.0134709873449</v>
      </c>
      <c r="N99" s="2" t="inlineStr">
        <is>
          <t>PROFIT</t>
        </is>
      </c>
      <c r="O99" s="5">
        <f>HYPERLINK("file:///C:/DATA/CODE/Stocks/BackTest/Plots/intraday_trades/Intraday_Trade_0097_TECHM.NS_PROFIT.png", "View Intraday Plot Chart")</f>
        <v/>
      </c>
    </row>
    <row r="100">
      <c r="A100" s="2" t="n">
        <v>99</v>
      </c>
      <c r="B100" s="2" t="n">
        <v>98</v>
      </c>
      <c r="C100" s="2" t="inlineStr">
        <is>
          <t>INTRADAY TRADE</t>
        </is>
      </c>
      <c r="D100" s="2" t="inlineStr">
        <is>
          <t>2026-06-23 11:30</t>
        </is>
      </c>
      <c r="E100" s="2" t="inlineStr">
        <is>
          <t>TECHM.NS</t>
        </is>
      </c>
      <c r="F100" s="2" t="inlineStr">
        <is>
          <t>pivot_support</t>
        </is>
      </c>
      <c r="G100" s="2" t="inlineStr">
        <is>
          <t>LONG</t>
        </is>
      </c>
      <c r="H100" s="2" t="n">
        <v>1408.1</v>
      </c>
      <c r="I100" s="2" t="n">
        <v>1415.6</v>
      </c>
      <c r="J100" s="2" t="n">
        <v>1690.033677468362</v>
      </c>
      <c r="K100" s="2" t="n">
        <v>7.148842455691173</v>
      </c>
      <c r="L100" s="2" t="n">
        <v>0.423</v>
      </c>
      <c r="M100" s="2" t="n">
        <v>683.1623134430361</v>
      </c>
      <c r="N100" s="2" t="inlineStr">
        <is>
          <t>PROFIT</t>
        </is>
      </c>
      <c r="O100" s="5">
        <f>HYPERLINK("file:///C:/DATA/CODE/Stocks/BackTest/Plots/intraday_trades/Intraday_Trade_0098_TECHM.NS_PROFIT.png", "View Intraday Plot Chart")</f>
        <v/>
      </c>
    </row>
    <row r="101">
      <c r="A101" s="3" t="n">
        <v>100</v>
      </c>
      <c r="B101" s="3" t="n">
        <v>99</v>
      </c>
      <c r="C101" s="3" t="inlineStr">
        <is>
          <t>INTRADAY TRADE</t>
        </is>
      </c>
      <c r="D101" s="3" t="inlineStr">
        <is>
          <t>2026-06-22 11:45</t>
        </is>
      </c>
      <c r="E101" s="3" t="inlineStr">
        <is>
          <t>TMCV.NS</t>
        </is>
      </c>
      <c r="F101" s="3" t="inlineStr">
        <is>
          <t>pivot_resistance</t>
        </is>
      </c>
      <c r="G101" s="3" t="inlineStr">
        <is>
          <t>SHORT</t>
        </is>
      </c>
      <c r="H101" s="3" t="n">
        <v>406.55</v>
      </c>
      <c r="I101" s="3" t="n">
        <v>407.8</v>
      </c>
      <c r="J101" s="3" t="n">
        <v>1707.90578360759</v>
      </c>
      <c r="K101" s="3" t="n">
        <v>-7.121967117643651</v>
      </c>
      <c r="L101" s="3" t="n">
        <v>-0.417</v>
      </c>
      <c r="M101" s="3" t="n">
        <v>676.0403463253924</v>
      </c>
      <c r="N101" s="3" t="inlineStr">
        <is>
          <t>LOSS</t>
        </is>
      </c>
      <c r="O101" s="4">
        <f>HYPERLINK("file:///C:/DATA/CODE/Stocks/BackTest/Plots/intraday_trades/Intraday_Trade_0099_TMCV.NS_LOSS.png", "View Intraday Plot Chart")</f>
        <v/>
      </c>
    </row>
    <row r="102">
      <c r="A102" s="2" t="n">
        <v>101</v>
      </c>
      <c r="B102" s="2" t="n">
        <v>100</v>
      </c>
      <c r="C102" s="2" t="inlineStr">
        <is>
          <t>INTRADAY TRADE</t>
        </is>
      </c>
      <c r="D102" s="2" t="inlineStr">
        <is>
          <t>2026-06-24 14:45</t>
        </is>
      </c>
      <c r="E102" s="2" t="inlineStr">
        <is>
          <t>TORNTPOWER.NS</t>
        </is>
      </c>
      <c r="F102" s="2" t="inlineStr">
        <is>
          <t>prev_day_low</t>
        </is>
      </c>
      <c r="G102" s="2" t="inlineStr">
        <is>
          <t>SHORT</t>
        </is>
      </c>
      <c r="H102" s="2" t="n">
        <v>1453.3</v>
      </c>
      <c r="I102" s="2" t="n">
        <v>1438.5</v>
      </c>
      <c r="J102" s="2" t="n">
        <v>1690.100865813481</v>
      </c>
      <c r="K102" s="2" t="n">
        <v>15.36301687024454</v>
      </c>
      <c r="L102" s="2" t="n">
        <v>0.909</v>
      </c>
      <c r="M102" s="2" t="n">
        <v>691.403363195637</v>
      </c>
      <c r="N102" s="2" t="inlineStr">
        <is>
          <t>PROFIT</t>
        </is>
      </c>
      <c r="O102" s="5">
        <f>HYPERLINK("file:///C:/DATA/CODE/Stocks/BackTest/Plots/intraday_trades/Intraday_Trade_0100_TORNTPOWER.NS_PROFIT.png", "View Intraday Plot Chart")</f>
        <v/>
      </c>
    </row>
    <row r="103">
      <c r="A103" s="2" t="n">
        <v>102</v>
      </c>
      <c r="B103" s="2" t="n">
        <v>101</v>
      </c>
      <c r="C103" s="2" t="inlineStr">
        <is>
          <t>INTRADAY TRADE</t>
        </is>
      </c>
      <c r="D103" s="2" t="inlineStr">
        <is>
          <t>2026-06-29 10:30</t>
        </is>
      </c>
      <c r="E103" s="2" t="inlineStr">
        <is>
          <t>TORNTPOWER.NS</t>
        </is>
      </c>
      <c r="F103" s="2" t="inlineStr">
        <is>
          <t>prev_day_low</t>
        </is>
      </c>
      <c r="G103" s="2" t="inlineStr">
        <is>
          <t>LONG</t>
        </is>
      </c>
      <c r="H103" s="2" t="n">
        <v>1404.8</v>
      </c>
      <c r="I103" s="2" t="n">
        <v>1418</v>
      </c>
      <c r="J103" s="2" t="n">
        <v>1728.508407989093</v>
      </c>
      <c r="K103" s="2" t="n">
        <v>14.32933470222958</v>
      </c>
      <c r="L103" s="2" t="n">
        <v>0.829</v>
      </c>
      <c r="M103" s="2" t="n">
        <v>705.7326978978666</v>
      </c>
      <c r="N103" s="2" t="inlineStr">
        <is>
          <t>PROFIT</t>
        </is>
      </c>
      <c r="O103" s="5">
        <f>HYPERLINK("file:///C:/DATA/CODE/Stocks/BackTest/Plots/intraday_trades/Intraday_Trade_0101_TORNTPOWER.NS_PROFIT.png", "View Intraday Plot Chart")</f>
        <v/>
      </c>
    </row>
    <row r="104">
      <c r="A104" s="3" t="n">
        <v>103</v>
      </c>
      <c r="B104" s="3" t="n">
        <v>102</v>
      </c>
      <c r="C104" s="3" t="inlineStr">
        <is>
          <t>INTRADAY TRADE</t>
        </is>
      </c>
      <c r="D104" s="3" t="inlineStr">
        <is>
          <t>2026-06-29 10:15</t>
        </is>
      </c>
      <c r="E104" s="3" t="inlineStr">
        <is>
          <t>TRENT.NS</t>
        </is>
      </c>
      <c r="F104" s="3" t="inlineStr">
        <is>
          <t>pivot_resistance+prev_day_high</t>
        </is>
      </c>
      <c r="G104" s="3" t="inlineStr">
        <is>
          <t>SHORT</t>
        </is>
      </c>
      <c r="H104" s="3" t="n">
        <v>3278.6</v>
      </c>
      <c r="I104" s="3" t="n">
        <v>3311</v>
      </c>
      <c r="J104" s="3" t="n">
        <v>1764.331744744667</v>
      </c>
      <c r="K104" s="3" t="n">
        <v>-19.37236255729644</v>
      </c>
      <c r="L104" s="3" t="n">
        <v>-1.098</v>
      </c>
      <c r="M104" s="3" t="n">
        <v>686.3603353405701</v>
      </c>
      <c r="N104" s="3" t="inlineStr">
        <is>
          <t>LOSS</t>
        </is>
      </c>
      <c r="O104" s="4">
        <f>HYPERLINK("file:///C:/DATA/CODE/Stocks/BackTest/Plots/intraday_trades/Intraday_Trade_0102_TRENT.NS_LOSS.png", "View Intraday Plot Chart")</f>
        <v/>
      </c>
    </row>
    <row r="105">
      <c r="A105" s="3" t="n">
        <v>104</v>
      </c>
      <c r="B105" s="3" t="n">
        <v>103</v>
      </c>
      <c r="C105" s="3" t="inlineStr">
        <is>
          <t>INTRADAY TRADE</t>
        </is>
      </c>
      <c r="D105" s="3" t="inlineStr">
        <is>
          <t>2026-06-29 10:15</t>
        </is>
      </c>
      <c r="E105" s="3" t="inlineStr">
        <is>
          <t>TRENT.NS</t>
        </is>
      </c>
      <c r="F105" s="3" t="inlineStr">
        <is>
          <t>pivot_resistance</t>
        </is>
      </c>
      <c r="G105" s="3" t="inlineStr">
        <is>
          <t>SHORT</t>
        </is>
      </c>
      <c r="H105" s="3" t="n">
        <v>3278.6</v>
      </c>
      <c r="I105" s="3" t="n">
        <v>3311</v>
      </c>
      <c r="J105" s="3" t="n">
        <v>1715.900838351425</v>
      </c>
      <c r="K105" s="3" t="n">
        <v>-18.84059120509865</v>
      </c>
      <c r="L105" s="3" t="n">
        <v>-1.098</v>
      </c>
      <c r="M105" s="3" t="n">
        <v>667.5197441354715</v>
      </c>
      <c r="N105" s="3" t="inlineStr">
        <is>
          <t>LOSS</t>
        </is>
      </c>
      <c r="O105" s="4">
        <f>HYPERLINK("file:///C:/DATA/CODE/Stocks/BackTest/Plots/intraday_trades/Intraday_Trade_0103_TRENT.NS_LOSS.png", "View Intraday Plot Chart")</f>
        <v/>
      </c>
    </row>
    <row r="106">
      <c r="A106" s="3" t="n">
        <v>105</v>
      </c>
      <c r="B106" s="3" t="n">
        <v>104</v>
      </c>
      <c r="C106" s="3" t="inlineStr">
        <is>
          <t>INTRADAY TRADE</t>
        </is>
      </c>
      <c r="D106" s="3" t="inlineStr">
        <is>
          <t>2026-06-29 13:00</t>
        </is>
      </c>
      <c r="E106" s="3" t="inlineStr">
        <is>
          <t>TRENT.NS</t>
        </is>
      </c>
      <c r="F106" s="3" t="inlineStr">
        <is>
          <t>pivot_resistance</t>
        </is>
      </c>
      <c r="G106" s="3" t="inlineStr">
        <is>
          <t>LONG</t>
        </is>
      </c>
      <c r="H106" s="3" t="n">
        <v>3267.5</v>
      </c>
      <c r="I106" s="3" t="n">
        <v>3247</v>
      </c>
      <c r="J106" s="3" t="n">
        <v>1668.799360338679</v>
      </c>
      <c r="K106" s="3" t="n">
        <v>-12.29905128569606</v>
      </c>
      <c r="L106" s="3" t="n">
        <v>-0.737</v>
      </c>
      <c r="M106" s="3" t="n">
        <v>655.2206928497754</v>
      </c>
      <c r="N106" s="3" t="inlineStr">
        <is>
          <t>LOSS</t>
        </is>
      </c>
      <c r="O106" s="4">
        <f>HYPERLINK("file:///C:/DATA/CODE/Stocks/BackTest/Plots/intraday_trades/Intraday_Trade_0104_TRENT.NS_LOSS.png", "View Intraday Plot Chart")</f>
        <v/>
      </c>
    </row>
    <row r="107">
      <c r="A107" s="3" t="n">
        <v>106</v>
      </c>
      <c r="B107" s="3" t="n">
        <v>105</v>
      </c>
      <c r="C107" s="3" t="inlineStr">
        <is>
          <t>INTRADAY TRADE</t>
        </is>
      </c>
      <c r="D107" s="3" t="inlineStr">
        <is>
          <t>2026-06-30 11:30</t>
        </is>
      </c>
      <c r="E107" s="3" t="inlineStr">
        <is>
          <t>TRENT.NS</t>
        </is>
      </c>
      <c r="F107" s="3" t="inlineStr">
        <is>
          <t>pivot_resistance</t>
        </is>
      </c>
      <c r="G107" s="3" t="inlineStr">
        <is>
          <t>SHORT</t>
        </is>
      </c>
      <c r="H107" s="3" t="n">
        <v>3279.9</v>
      </c>
      <c r="I107" s="3" t="n">
        <v>3289</v>
      </c>
      <c r="J107" s="3" t="n">
        <v>1638.051732124439</v>
      </c>
      <c r="K107" s="3" t="n">
        <v>-6.339260203321578</v>
      </c>
      <c r="L107" s="3" t="n">
        <v>-0.387</v>
      </c>
      <c r="M107" s="3" t="n">
        <v>648.8814326464538</v>
      </c>
      <c r="N107" s="3" t="inlineStr">
        <is>
          <t>LOSS</t>
        </is>
      </c>
      <c r="O107" s="4">
        <f>HYPERLINK("file:///C:/DATA/CODE/Stocks/BackTest/Plots/intraday_trades/Intraday_Trade_0105_TRENT.NS_LOSS.png", "View Intraday Plot Chart")</f>
        <v/>
      </c>
    </row>
    <row r="108">
      <c r="A108" s="3" t="n">
        <v>107</v>
      </c>
      <c r="B108" s="3" t="n">
        <v>106</v>
      </c>
      <c r="C108" s="3" t="inlineStr">
        <is>
          <t>INTRADAY TRADE</t>
        </is>
      </c>
      <c r="D108" s="3" t="inlineStr">
        <is>
          <t>2026-06-22 10:30</t>
        </is>
      </c>
      <c r="E108" s="3" t="inlineStr">
        <is>
          <t>VOLTAS.NS</t>
        </is>
      </c>
      <c r="F108" s="3" t="inlineStr">
        <is>
          <t>pivot_resistance+prev_day_high</t>
        </is>
      </c>
      <c r="G108" s="3" t="inlineStr">
        <is>
          <t>LONG</t>
        </is>
      </c>
      <c r="H108" s="3" t="n">
        <v>1363</v>
      </c>
      <c r="I108" s="3" t="n">
        <v>1352.2</v>
      </c>
      <c r="J108" s="3" t="n">
        <v>1622.203581616135</v>
      </c>
      <c r="K108" s="3" t="n">
        <v>-14.61605427036137</v>
      </c>
      <c r="L108" s="3" t="n">
        <v>-0.901</v>
      </c>
      <c r="M108" s="3" t="n">
        <v>634.2653783760925</v>
      </c>
      <c r="N108" s="3" t="inlineStr">
        <is>
          <t>LOSS</t>
        </is>
      </c>
      <c r="O108" s="4">
        <f>HYPERLINK("file:///C:/DATA/CODE/Stocks/BackTest/Plots/intraday_trades/Intraday_Trade_0106_VOLTAS.NS_LOSS.png", "View Intraday Plot Chart")</f>
        <v/>
      </c>
    </row>
    <row r="109">
      <c r="A109" s="3" t="n">
        <v>108</v>
      </c>
      <c r="B109" s="3" t="n">
        <v>107</v>
      </c>
      <c r="C109" s="3" t="inlineStr">
        <is>
          <t>INTRADAY TRADE</t>
        </is>
      </c>
      <c r="D109" s="3" t="inlineStr">
        <is>
          <t>2026-06-22 10:30</t>
        </is>
      </c>
      <c r="E109" s="3" t="inlineStr">
        <is>
          <t>VOLTAS.NS</t>
        </is>
      </c>
      <c r="F109" s="3" t="inlineStr">
        <is>
          <t>pivot_resistance</t>
        </is>
      </c>
      <c r="G109" s="3" t="inlineStr">
        <is>
          <t>LONG</t>
        </is>
      </c>
      <c r="H109" s="3" t="n">
        <v>1363</v>
      </c>
      <c r="I109" s="3" t="n">
        <v>1352.2</v>
      </c>
      <c r="J109" s="3" t="n">
        <v>1585.663445940231</v>
      </c>
      <c r="K109" s="3" t="n">
        <v>-14.28682764792148</v>
      </c>
      <c r="L109" s="3" t="n">
        <v>-0.901</v>
      </c>
      <c r="M109" s="3" t="n">
        <v>619.9785507281711</v>
      </c>
      <c r="N109" s="3" t="inlineStr">
        <is>
          <t>LOSS</t>
        </is>
      </c>
      <c r="O109" s="4">
        <f>HYPERLINK("file:///C:/DATA/CODE/Stocks/BackTest/Plots/intraday_trades/Intraday_Trade_0107_VOLTAS.NS_LOSS.png", "View Intraday Plot Chart")</f>
        <v/>
      </c>
    </row>
    <row r="110">
      <c r="A110" s="3" t="n">
        <v>109</v>
      </c>
      <c r="B110" s="3" t="n">
        <v>108</v>
      </c>
      <c r="C110" s="3" t="inlineStr">
        <is>
          <t>INTRADAY TRADE</t>
        </is>
      </c>
      <c r="D110" s="3" t="inlineStr">
        <is>
          <t>2026-06-22 10:30</t>
        </is>
      </c>
      <c r="E110" s="3" t="inlineStr">
        <is>
          <t>VOLTAS.NS</t>
        </is>
      </c>
      <c r="F110" s="3" t="inlineStr">
        <is>
          <t>pivot_resistance</t>
        </is>
      </c>
      <c r="G110" s="3" t="inlineStr">
        <is>
          <t>LONG</t>
        </is>
      </c>
      <c r="H110" s="3" t="n">
        <v>1363</v>
      </c>
      <c r="I110" s="3" t="n">
        <v>1352.2</v>
      </c>
      <c r="J110" s="3" t="n">
        <v>1549.946376820428</v>
      </c>
      <c r="K110" s="3" t="n">
        <v>-13.96501685515205</v>
      </c>
      <c r="L110" s="3" t="n">
        <v>-0.901</v>
      </c>
      <c r="M110" s="3" t="n">
        <v>606.013533873019</v>
      </c>
      <c r="N110" s="3" t="inlineStr">
        <is>
          <t>LOSS</t>
        </is>
      </c>
      <c r="O110" s="4">
        <f>HYPERLINK("file:///C:/DATA/CODE/Stocks/BackTest/Plots/intraday_trades/Intraday_Trade_0108_VOLTAS.NS_LOSS.png", "View Intraday Plot Chart")</f>
        <v/>
      </c>
    </row>
    <row r="111">
      <c r="A111" s="3" t="n">
        <v>110</v>
      </c>
      <c r="B111" s="3" t="n">
        <v>109</v>
      </c>
      <c r="C111" s="3" t="inlineStr">
        <is>
          <t>INTRADAY TRADE</t>
        </is>
      </c>
      <c r="D111" s="3" t="inlineStr">
        <is>
          <t>2026-06-22 10:30</t>
        </is>
      </c>
      <c r="E111" s="3" t="inlineStr">
        <is>
          <t>VOLTAS.NS</t>
        </is>
      </c>
      <c r="F111" s="3" t="inlineStr">
        <is>
          <t>pivot_resistance</t>
        </is>
      </c>
      <c r="G111" s="3" t="inlineStr">
        <is>
          <t>LONG</t>
        </is>
      </c>
      <c r="H111" s="3" t="n">
        <v>1363</v>
      </c>
      <c r="I111" s="3" t="n">
        <v>1352.2</v>
      </c>
      <c r="J111" s="3" t="n">
        <v>1515.033834682547</v>
      </c>
      <c r="K111" s="3" t="n">
        <v>-13.65045485048975</v>
      </c>
      <c r="L111" s="3" t="n">
        <v>-0.901</v>
      </c>
      <c r="M111" s="3" t="n">
        <v>592.3630790225293</v>
      </c>
      <c r="N111" s="3" t="inlineStr">
        <is>
          <t>LOSS</t>
        </is>
      </c>
      <c r="O111" s="4">
        <f>HYPERLINK("file:///C:/DATA/CODE/Stocks/BackTest/Plots/intraday_trades/Intraday_Trade_0109_VOLTAS.NS_LOSS.png", "View Intraday Plot Chart")</f>
        <v/>
      </c>
    </row>
    <row r="112">
      <c r="A112" s="3" t="n">
        <v>111</v>
      </c>
      <c r="B112" s="3" t="n">
        <v>110</v>
      </c>
      <c r="C112" s="3" t="inlineStr">
        <is>
          <t>INTRADAY TRADE</t>
        </is>
      </c>
      <c r="D112" s="3" t="inlineStr">
        <is>
          <t>2026-06-22 10:30</t>
        </is>
      </c>
      <c r="E112" s="3" t="inlineStr">
        <is>
          <t>VOLTAS.NS</t>
        </is>
      </c>
      <c r="F112" s="3" t="inlineStr">
        <is>
          <t>pivot_resistance</t>
        </is>
      </c>
      <c r="G112" s="3" t="inlineStr">
        <is>
          <t>LONG</t>
        </is>
      </c>
      <c r="H112" s="3" t="n">
        <v>1363</v>
      </c>
      <c r="I112" s="3" t="n">
        <v>1352.2</v>
      </c>
      <c r="J112" s="3" t="n">
        <v>1480.907697556323</v>
      </c>
      <c r="K112" s="3" t="n">
        <v>-13.34297835498247</v>
      </c>
      <c r="L112" s="3" t="n">
        <v>-0.901</v>
      </c>
      <c r="M112" s="3" t="n">
        <v>579.0201006675468</v>
      </c>
      <c r="N112" s="3" t="inlineStr">
        <is>
          <t>LOSS</t>
        </is>
      </c>
      <c r="O112" s="4">
        <f>HYPERLINK("file:///C:/DATA/CODE/Stocks/BackTest/Plots/intraday_trades/Intraday_Trade_0110_VOLTAS.NS_LOSS.png", "View Intraday Plot Chart")</f>
        <v/>
      </c>
    </row>
    <row r="113">
      <c r="A113" s="3" t="n">
        <v>112</v>
      </c>
      <c r="B113" s="3" t="n">
        <v>111</v>
      </c>
      <c r="C113" s="3" t="inlineStr">
        <is>
          <t>INTRADAY TRADE</t>
        </is>
      </c>
      <c r="D113" s="3" t="inlineStr">
        <is>
          <t>2026-06-24 11:00</t>
        </is>
      </c>
      <c r="E113" s="3" t="inlineStr">
        <is>
          <t>WIPRO.NS</t>
        </is>
      </c>
      <c r="F113" s="3" t="inlineStr">
        <is>
          <t>prev_day_low</t>
        </is>
      </c>
      <c r="G113" s="3" t="inlineStr">
        <is>
          <t>SHORT</t>
        </is>
      </c>
      <c r="H113" s="3" t="n">
        <v>173.62</v>
      </c>
      <c r="I113" s="3" t="n">
        <v>174.9</v>
      </c>
      <c r="J113" s="3" t="n">
        <v>1447.550251668867</v>
      </c>
      <c r="K113" s="3" t="n">
        <v>-12.2607506316353</v>
      </c>
      <c r="L113" s="3" t="n">
        <v>-0.847</v>
      </c>
      <c r="M113" s="3" t="n">
        <v>566.7593500359114</v>
      </c>
      <c r="N113" s="3" t="inlineStr">
        <is>
          <t>LOSS</t>
        </is>
      </c>
      <c r="O113" s="4">
        <f>HYPERLINK("file:///C:/DATA/CODE/Stocks/BackTest/Plots/intraday_trades/Intraday_Trade_0111_WIPRO.NS_LOSS.png", "View Intraday Plot Chart")</f>
        <v/>
      </c>
    </row>
    <row r="114">
      <c r="A114" s="3" t="n">
        <v>113</v>
      </c>
      <c r="B114" s="3" t="n">
        <v>112</v>
      </c>
      <c r="C114" s="3" t="inlineStr">
        <is>
          <t>INTRADAY TRADE</t>
        </is>
      </c>
      <c r="D114" s="3" t="inlineStr">
        <is>
          <t>2026-06-15 10:00</t>
        </is>
      </c>
      <c r="E114" s="3" t="inlineStr">
        <is>
          <t>YESBANK.NS</t>
        </is>
      </c>
      <c r="F114" s="3" t="inlineStr">
        <is>
          <t>pivot_support</t>
        </is>
      </c>
      <c r="G114" s="3" t="inlineStr">
        <is>
          <t>SHORT</t>
        </is>
      </c>
      <c r="H114" s="3" t="n">
        <v>23.34</v>
      </c>
      <c r="I114" s="3" t="n">
        <v>23.47</v>
      </c>
      <c r="J114" s="3" t="n">
        <v>1416.898375089779</v>
      </c>
      <c r="K114" s="3" t="n">
        <v>-9.450712161848825</v>
      </c>
      <c r="L114" s="3" t="n">
        <v>-0.667</v>
      </c>
      <c r="M114" s="3" t="n">
        <v>557.3086378740626</v>
      </c>
      <c r="N114" s="3" t="inlineStr">
        <is>
          <t>LOSS</t>
        </is>
      </c>
      <c r="O114" s="4">
        <f>HYPERLINK("file:///C:/DATA/CODE/Stocks/BackTest/Plots/intraday_trades/Intraday_Trade_0112_YESBANK.NS_LOSS.png", "View Intraday Plot Chart")</f>
        <v/>
      </c>
    </row>
    <row r="115">
      <c r="A115" s="3" t="n">
        <v>114</v>
      </c>
      <c r="B115" s="3" t="n">
        <v>113</v>
      </c>
      <c r="C115" s="3" t="inlineStr">
        <is>
          <t>INTRADAY TRADE</t>
        </is>
      </c>
      <c r="D115" s="3" t="inlineStr">
        <is>
          <t>2026-06-24 13:45</t>
        </is>
      </c>
      <c r="E115" s="3" t="inlineStr">
        <is>
          <t>YESBANK.NS</t>
        </is>
      </c>
      <c r="F115" s="3" t="inlineStr">
        <is>
          <t>pivot_resistance+prev_day_high</t>
        </is>
      </c>
      <c r="G115" s="3" t="inlineStr">
        <is>
          <t>SHORT</t>
        </is>
      </c>
      <c r="H115" s="3" t="n">
        <v>24.99</v>
      </c>
      <c r="I115" s="3" t="n">
        <v>24.99</v>
      </c>
      <c r="J115" s="3" t="n">
        <v>1393.271594685157</v>
      </c>
      <c r="K115" s="3" t="n">
        <v>-1.532598754153672</v>
      </c>
      <c r="L115" s="3" t="n">
        <v>-0.11</v>
      </c>
      <c r="M115" s="3" t="n">
        <v>555.7760391199089</v>
      </c>
      <c r="N115" s="3" t="inlineStr">
        <is>
          <t>LOSS</t>
        </is>
      </c>
      <c r="O115" s="4">
        <f>HYPERLINK("file:///C:/DATA/CODE/Stocks/BackTest/Plots/intraday_trades/Intraday_Trade_0113_YESBANK.NS_LOSS.png", "View Intraday Plot Chart")</f>
        <v/>
      </c>
    </row>
    <row r="116">
      <c r="A116" s="3" t="n">
        <v>115</v>
      </c>
      <c r="B116" s="3" t="n">
        <v>114</v>
      </c>
      <c r="C116" s="3" t="inlineStr">
        <is>
          <t>INTRADAY TRADE</t>
        </is>
      </c>
      <c r="D116" s="3" t="inlineStr">
        <is>
          <t>2026-06-24 09:45</t>
        </is>
      </c>
      <c r="E116" s="3" t="inlineStr">
        <is>
          <t>YESBANK.NS</t>
        </is>
      </c>
      <c r="F116" s="3" t="inlineStr">
        <is>
          <t>pivot_resistance</t>
        </is>
      </c>
      <c r="G116" s="3" t="inlineStr">
        <is>
          <t>SHORT</t>
        </is>
      </c>
      <c r="H116" s="3" t="n">
        <v>24.84</v>
      </c>
      <c r="I116" s="3" t="n">
        <v>24.99</v>
      </c>
      <c r="J116" s="3" t="n">
        <v>1389.440097799772</v>
      </c>
      <c r="K116" s="3" t="n">
        <v>-9.920602298290374</v>
      </c>
      <c r="L116" s="3" t="n">
        <v>-0.714</v>
      </c>
      <c r="M116" s="3" t="n">
        <v>545.8554368216185</v>
      </c>
      <c r="N116" s="3" t="inlineStr">
        <is>
          <t>LOSS</t>
        </is>
      </c>
      <c r="O116" s="4">
        <f>HYPERLINK("file:///C:/DATA/CODE/Stocks/BackTest/Plots/intraday_trades/Intraday_Trade_0114_YESBANK.NS_LOSS.png", "View Intraday Plot Chart")</f>
        <v/>
      </c>
    </row>
    <row r="117">
      <c r="A117" s="3" t="n">
        <v>116</v>
      </c>
      <c r="B117" s="3" t="n">
        <v>115</v>
      </c>
      <c r="C117" s="3" t="inlineStr">
        <is>
          <t>INTRADAY TRADE</t>
        </is>
      </c>
      <c r="D117" s="3" t="inlineStr">
        <is>
          <t>2026-06-24 09:45</t>
        </is>
      </c>
      <c r="E117" s="3" t="inlineStr">
        <is>
          <t>YESBANK.NS</t>
        </is>
      </c>
      <c r="F117" s="3" t="inlineStr">
        <is>
          <t>pivot_resistance</t>
        </is>
      </c>
      <c r="G117" s="3" t="inlineStr">
        <is>
          <t>SHORT</t>
        </is>
      </c>
      <c r="H117" s="3" t="n">
        <v>24.84</v>
      </c>
      <c r="I117" s="3" t="n">
        <v>24.99</v>
      </c>
      <c r="J117" s="3" t="n">
        <v>1364.638592054046</v>
      </c>
      <c r="K117" s="3" t="n">
        <v>-9.743519547265889</v>
      </c>
      <c r="L117" s="3" t="n">
        <v>-0.714</v>
      </c>
      <c r="M117" s="3" t="n">
        <v>536.1119172743525</v>
      </c>
      <c r="N117" s="3" t="inlineStr">
        <is>
          <t>LOSS</t>
        </is>
      </c>
      <c r="O117" s="4">
        <f>HYPERLINK("file:///C:/DATA/CODE/Stocks/BackTest/Plots/intraday_trades/Intraday_Trade_0115_YESBANK.NS_LOSS.png", "View Intraday Plot Chart")</f>
        <v/>
      </c>
    </row>
    <row r="118">
      <c r="A118" s="2" t="n">
        <v>117</v>
      </c>
      <c r="B118" s="2" t="n">
        <v>116</v>
      </c>
      <c r="C118" s="2" t="inlineStr">
        <is>
          <t>INTRADAY TRADE</t>
        </is>
      </c>
      <c r="D118" s="2" t="inlineStr">
        <is>
          <t>2026-06-29 13:30</t>
        </is>
      </c>
      <c r="E118" s="2" t="inlineStr">
        <is>
          <t>ZYDUSLIFE.NS</t>
        </is>
      </c>
      <c r="F118" s="2" t="inlineStr">
        <is>
          <t>pivot_resistance+prev_day_high</t>
        </is>
      </c>
      <c r="G118" s="2" t="inlineStr">
        <is>
          <t>LONG</t>
        </is>
      </c>
      <c r="H118" s="2" t="n">
        <v>1114.7</v>
      </c>
      <c r="I118" s="2" t="n">
        <v>1122</v>
      </c>
      <c r="J118" s="2" t="n">
        <v>1340.279793185881</v>
      </c>
      <c r="K118" s="2" t="n">
        <v>7.304524872863053</v>
      </c>
      <c r="L118" s="2" t="n">
        <v>0.545</v>
      </c>
      <c r="M118" s="2" t="n">
        <v>543.4164421472155</v>
      </c>
      <c r="N118" s="2" t="inlineStr">
        <is>
          <t>PROFIT</t>
        </is>
      </c>
      <c r="O118" s="5">
        <f>HYPERLINK("file:///C:/DATA/CODE/Stocks/BackTest/Plots/intraday_trades/Intraday_Trade_0116_ZYDUSLIFE.NS_PROFIT.png", "View Intraday Plot Chart")</f>
        <v/>
      </c>
    </row>
  </sheetData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O7" r:id="rId5"/>
    <hyperlink xmlns:r="http://schemas.openxmlformats.org/officeDocument/2006/relationships" ref="O8" r:id="rId6"/>
    <hyperlink xmlns:r="http://schemas.openxmlformats.org/officeDocument/2006/relationships" ref="O9" r:id="rId7"/>
    <hyperlink xmlns:r="http://schemas.openxmlformats.org/officeDocument/2006/relationships" ref="O10" r:id="rId8"/>
    <hyperlink xmlns:r="http://schemas.openxmlformats.org/officeDocument/2006/relationships" ref="O11" r:id="rId9"/>
    <hyperlink xmlns:r="http://schemas.openxmlformats.org/officeDocument/2006/relationships" ref="O12" r:id="rId10"/>
    <hyperlink xmlns:r="http://schemas.openxmlformats.org/officeDocument/2006/relationships" ref="O13" r:id="rId11"/>
    <hyperlink xmlns:r="http://schemas.openxmlformats.org/officeDocument/2006/relationships" ref="O14" r:id="rId12"/>
    <hyperlink xmlns:r="http://schemas.openxmlformats.org/officeDocument/2006/relationships" ref="O15" r:id="rId13"/>
    <hyperlink xmlns:r="http://schemas.openxmlformats.org/officeDocument/2006/relationships" ref="O16" r:id="rId14"/>
    <hyperlink xmlns:r="http://schemas.openxmlformats.org/officeDocument/2006/relationships" ref="O17" r:id="rId15"/>
    <hyperlink xmlns:r="http://schemas.openxmlformats.org/officeDocument/2006/relationships" ref="O18" r:id="rId16"/>
    <hyperlink xmlns:r="http://schemas.openxmlformats.org/officeDocument/2006/relationships" ref="O19" r:id="rId17"/>
    <hyperlink xmlns:r="http://schemas.openxmlformats.org/officeDocument/2006/relationships" ref="O20" r:id="rId18"/>
    <hyperlink xmlns:r="http://schemas.openxmlformats.org/officeDocument/2006/relationships" ref="O21" r:id="rId19"/>
    <hyperlink xmlns:r="http://schemas.openxmlformats.org/officeDocument/2006/relationships" ref="O22" r:id="rId20"/>
    <hyperlink xmlns:r="http://schemas.openxmlformats.org/officeDocument/2006/relationships" ref="O23" r:id="rId21"/>
    <hyperlink xmlns:r="http://schemas.openxmlformats.org/officeDocument/2006/relationships" ref="O24" r:id="rId22"/>
    <hyperlink xmlns:r="http://schemas.openxmlformats.org/officeDocument/2006/relationships" ref="O25" r:id="rId23"/>
    <hyperlink xmlns:r="http://schemas.openxmlformats.org/officeDocument/2006/relationships" ref="O26" r:id="rId24"/>
    <hyperlink xmlns:r="http://schemas.openxmlformats.org/officeDocument/2006/relationships" ref="O27" r:id="rId25"/>
    <hyperlink xmlns:r="http://schemas.openxmlformats.org/officeDocument/2006/relationships" ref="O28" r:id="rId26"/>
    <hyperlink xmlns:r="http://schemas.openxmlformats.org/officeDocument/2006/relationships" ref="O29" r:id="rId27"/>
    <hyperlink xmlns:r="http://schemas.openxmlformats.org/officeDocument/2006/relationships" ref="O30" r:id="rId28"/>
    <hyperlink xmlns:r="http://schemas.openxmlformats.org/officeDocument/2006/relationships" ref="O31" r:id="rId29"/>
    <hyperlink xmlns:r="http://schemas.openxmlformats.org/officeDocument/2006/relationships" ref="O32" r:id="rId30"/>
    <hyperlink xmlns:r="http://schemas.openxmlformats.org/officeDocument/2006/relationships" ref="O33" r:id="rId31"/>
    <hyperlink xmlns:r="http://schemas.openxmlformats.org/officeDocument/2006/relationships" ref="O34" r:id="rId32"/>
    <hyperlink xmlns:r="http://schemas.openxmlformats.org/officeDocument/2006/relationships" ref="O35" r:id="rId33"/>
    <hyperlink xmlns:r="http://schemas.openxmlformats.org/officeDocument/2006/relationships" ref="O36" r:id="rId34"/>
    <hyperlink xmlns:r="http://schemas.openxmlformats.org/officeDocument/2006/relationships" ref="O37" r:id="rId35"/>
    <hyperlink xmlns:r="http://schemas.openxmlformats.org/officeDocument/2006/relationships" ref="O38" r:id="rId36"/>
    <hyperlink xmlns:r="http://schemas.openxmlformats.org/officeDocument/2006/relationships" ref="O39" r:id="rId37"/>
    <hyperlink xmlns:r="http://schemas.openxmlformats.org/officeDocument/2006/relationships" ref="O40" r:id="rId38"/>
    <hyperlink xmlns:r="http://schemas.openxmlformats.org/officeDocument/2006/relationships" ref="O41" r:id="rId39"/>
    <hyperlink xmlns:r="http://schemas.openxmlformats.org/officeDocument/2006/relationships" ref="O42" r:id="rId40"/>
    <hyperlink xmlns:r="http://schemas.openxmlformats.org/officeDocument/2006/relationships" ref="O43" r:id="rId41"/>
    <hyperlink xmlns:r="http://schemas.openxmlformats.org/officeDocument/2006/relationships" ref="O44" r:id="rId42"/>
    <hyperlink xmlns:r="http://schemas.openxmlformats.org/officeDocument/2006/relationships" ref="O45" r:id="rId43"/>
    <hyperlink xmlns:r="http://schemas.openxmlformats.org/officeDocument/2006/relationships" ref="O46" r:id="rId44"/>
    <hyperlink xmlns:r="http://schemas.openxmlformats.org/officeDocument/2006/relationships" ref="O47" r:id="rId45"/>
    <hyperlink xmlns:r="http://schemas.openxmlformats.org/officeDocument/2006/relationships" ref="O48" r:id="rId46"/>
    <hyperlink xmlns:r="http://schemas.openxmlformats.org/officeDocument/2006/relationships" ref="O49" r:id="rId47"/>
    <hyperlink xmlns:r="http://schemas.openxmlformats.org/officeDocument/2006/relationships" ref="O50" r:id="rId48"/>
    <hyperlink xmlns:r="http://schemas.openxmlformats.org/officeDocument/2006/relationships" ref="O51" r:id="rId49"/>
    <hyperlink xmlns:r="http://schemas.openxmlformats.org/officeDocument/2006/relationships" ref="O52" r:id="rId50"/>
    <hyperlink xmlns:r="http://schemas.openxmlformats.org/officeDocument/2006/relationships" ref="O53" r:id="rId51"/>
    <hyperlink xmlns:r="http://schemas.openxmlformats.org/officeDocument/2006/relationships" ref="O54" r:id="rId52"/>
    <hyperlink xmlns:r="http://schemas.openxmlformats.org/officeDocument/2006/relationships" ref="O55" r:id="rId53"/>
    <hyperlink xmlns:r="http://schemas.openxmlformats.org/officeDocument/2006/relationships" ref="O56" r:id="rId54"/>
    <hyperlink xmlns:r="http://schemas.openxmlformats.org/officeDocument/2006/relationships" ref="O57" r:id="rId55"/>
    <hyperlink xmlns:r="http://schemas.openxmlformats.org/officeDocument/2006/relationships" ref="O58" r:id="rId56"/>
    <hyperlink xmlns:r="http://schemas.openxmlformats.org/officeDocument/2006/relationships" ref="O59" r:id="rId57"/>
    <hyperlink xmlns:r="http://schemas.openxmlformats.org/officeDocument/2006/relationships" ref="O60" r:id="rId58"/>
    <hyperlink xmlns:r="http://schemas.openxmlformats.org/officeDocument/2006/relationships" ref="O61" r:id="rId59"/>
    <hyperlink xmlns:r="http://schemas.openxmlformats.org/officeDocument/2006/relationships" ref="O62" r:id="rId60"/>
    <hyperlink xmlns:r="http://schemas.openxmlformats.org/officeDocument/2006/relationships" ref="O63" r:id="rId61"/>
    <hyperlink xmlns:r="http://schemas.openxmlformats.org/officeDocument/2006/relationships" ref="O64" r:id="rId62"/>
    <hyperlink xmlns:r="http://schemas.openxmlformats.org/officeDocument/2006/relationships" ref="O65" r:id="rId63"/>
    <hyperlink xmlns:r="http://schemas.openxmlformats.org/officeDocument/2006/relationships" ref="O66" r:id="rId64"/>
    <hyperlink xmlns:r="http://schemas.openxmlformats.org/officeDocument/2006/relationships" ref="O67" r:id="rId65"/>
    <hyperlink xmlns:r="http://schemas.openxmlformats.org/officeDocument/2006/relationships" ref="O68" r:id="rId66"/>
    <hyperlink xmlns:r="http://schemas.openxmlformats.org/officeDocument/2006/relationships" ref="O69" r:id="rId67"/>
    <hyperlink xmlns:r="http://schemas.openxmlformats.org/officeDocument/2006/relationships" ref="O70" r:id="rId68"/>
    <hyperlink xmlns:r="http://schemas.openxmlformats.org/officeDocument/2006/relationships" ref="O71" r:id="rId69"/>
    <hyperlink xmlns:r="http://schemas.openxmlformats.org/officeDocument/2006/relationships" ref="O72" r:id="rId70"/>
    <hyperlink xmlns:r="http://schemas.openxmlformats.org/officeDocument/2006/relationships" ref="O73" r:id="rId71"/>
    <hyperlink xmlns:r="http://schemas.openxmlformats.org/officeDocument/2006/relationships" ref="O74" r:id="rId72"/>
    <hyperlink xmlns:r="http://schemas.openxmlformats.org/officeDocument/2006/relationships" ref="O75" r:id="rId73"/>
    <hyperlink xmlns:r="http://schemas.openxmlformats.org/officeDocument/2006/relationships" ref="O76" r:id="rId74"/>
    <hyperlink xmlns:r="http://schemas.openxmlformats.org/officeDocument/2006/relationships" ref="O77" r:id="rId75"/>
    <hyperlink xmlns:r="http://schemas.openxmlformats.org/officeDocument/2006/relationships" ref="O78" r:id="rId76"/>
    <hyperlink xmlns:r="http://schemas.openxmlformats.org/officeDocument/2006/relationships" ref="O79" r:id="rId77"/>
    <hyperlink xmlns:r="http://schemas.openxmlformats.org/officeDocument/2006/relationships" ref="O80" r:id="rId78"/>
    <hyperlink xmlns:r="http://schemas.openxmlformats.org/officeDocument/2006/relationships" ref="O81" r:id="rId79"/>
    <hyperlink xmlns:r="http://schemas.openxmlformats.org/officeDocument/2006/relationships" ref="O82" r:id="rId80"/>
    <hyperlink xmlns:r="http://schemas.openxmlformats.org/officeDocument/2006/relationships" ref="O83" r:id="rId81"/>
    <hyperlink xmlns:r="http://schemas.openxmlformats.org/officeDocument/2006/relationships" ref="O84" r:id="rId82"/>
    <hyperlink xmlns:r="http://schemas.openxmlformats.org/officeDocument/2006/relationships" ref="O85" r:id="rId83"/>
    <hyperlink xmlns:r="http://schemas.openxmlformats.org/officeDocument/2006/relationships" ref="O86" r:id="rId84"/>
    <hyperlink xmlns:r="http://schemas.openxmlformats.org/officeDocument/2006/relationships" ref="O87" r:id="rId85"/>
    <hyperlink xmlns:r="http://schemas.openxmlformats.org/officeDocument/2006/relationships" ref="O88" r:id="rId86"/>
    <hyperlink xmlns:r="http://schemas.openxmlformats.org/officeDocument/2006/relationships" ref="O89" r:id="rId87"/>
    <hyperlink xmlns:r="http://schemas.openxmlformats.org/officeDocument/2006/relationships" ref="O90" r:id="rId88"/>
    <hyperlink xmlns:r="http://schemas.openxmlformats.org/officeDocument/2006/relationships" ref="O91" r:id="rId89"/>
    <hyperlink xmlns:r="http://schemas.openxmlformats.org/officeDocument/2006/relationships" ref="O92" r:id="rId90"/>
    <hyperlink xmlns:r="http://schemas.openxmlformats.org/officeDocument/2006/relationships" ref="O93" r:id="rId91"/>
    <hyperlink xmlns:r="http://schemas.openxmlformats.org/officeDocument/2006/relationships" ref="O94" r:id="rId92"/>
    <hyperlink xmlns:r="http://schemas.openxmlformats.org/officeDocument/2006/relationships" ref="O95" r:id="rId93"/>
    <hyperlink xmlns:r="http://schemas.openxmlformats.org/officeDocument/2006/relationships" ref="O96" r:id="rId94"/>
    <hyperlink xmlns:r="http://schemas.openxmlformats.org/officeDocument/2006/relationships" ref="O97" r:id="rId95"/>
    <hyperlink xmlns:r="http://schemas.openxmlformats.org/officeDocument/2006/relationships" ref="O98" r:id="rId96"/>
    <hyperlink xmlns:r="http://schemas.openxmlformats.org/officeDocument/2006/relationships" ref="O99" r:id="rId97"/>
    <hyperlink xmlns:r="http://schemas.openxmlformats.org/officeDocument/2006/relationships" ref="O100" r:id="rId98"/>
    <hyperlink xmlns:r="http://schemas.openxmlformats.org/officeDocument/2006/relationships" ref="O101" r:id="rId99"/>
    <hyperlink xmlns:r="http://schemas.openxmlformats.org/officeDocument/2006/relationships" ref="O102" r:id="rId100"/>
    <hyperlink xmlns:r="http://schemas.openxmlformats.org/officeDocument/2006/relationships" ref="O103" r:id="rId101"/>
    <hyperlink xmlns:r="http://schemas.openxmlformats.org/officeDocument/2006/relationships" ref="O104" r:id="rId102"/>
    <hyperlink xmlns:r="http://schemas.openxmlformats.org/officeDocument/2006/relationships" ref="O105" r:id="rId103"/>
    <hyperlink xmlns:r="http://schemas.openxmlformats.org/officeDocument/2006/relationships" ref="O106" r:id="rId104"/>
    <hyperlink xmlns:r="http://schemas.openxmlformats.org/officeDocument/2006/relationships" ref="O107" r:id="rId105"/>
    <hyperlink xmlns:r="http://schemas.openxmlformats.org/officeDocument/2006/relationships" ref="O108" r:id="rId106"/>
    <hyperlink xmlns:r="http://schemas.openxmlformats.org/officeDocument/2006/relationships" ref="O109" r:id="rId107"/>
    <hyperlink xmlns:r="http://schemas.openxmlformats.org/officeDocument/2006/relationships" ref="O110" r:id="rId108"/>
    <hyperlink xmlns:r="http://schemas.openxmlformats.org/officeDocument/2006/relationships" ref="O111" r:id="rId109"/>
    <hyperlink xmlns:r="http://schemas.openxmlformats.org/officeDocument/2006/relationships" ref="O112" r:id="rId110"/>
    <hyperlink xmlns:r="http://schemas.openxmlformats.org/officeDocument/2006/relationships" ref="O113" r:id="rId111"/>
    <hyperlink xmlns:r="http://schemas.openxmlformats.org/officeDocument/2006/relationships" ref="O114" r:id="rId112"/>
    <hyperlink xmlns:r="http://schemas.openxmlformats.org/officeDocument/2006/relationships" ref="O115" r:id="rId113"/>
    <hyperlink xmlns:r="http://schemas.openxmlformats.org/officeDocument/2006/relationships" ref="O116" r:id="rId114"/>
    <hyperlink xmlns:r="http://schemas.openxmlformats.org/officeDocument/2006/relationships" ref="O117" r:id="rId115"/>
    <hyperlink xmlns:r="http://schemas.openxmlformats.org/officeDocument/2006/relationships" ref="O118" r:id="rId1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2026-08-30T07:25:28Z</dcterms:created>
  <dcterms:modified xmlns:dcterms="http://purl.org/dc/terms/" xmlns:xsi="http://www.w3.org/2001/XMLSchema-instance" xsi:type="dcterms:W3CDTF">2026-08-30T07:25:28Z</dcterms:modified>
</cp:coreProperties>
</file>